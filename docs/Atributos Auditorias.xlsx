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gomez\Documents\"/>
    </mc:Choice>
  </mc:AlternateContent>
  <bookViews>
    <workbookView xWindow="0" yWindow="0" windowWidth="20490" windowHeight="7770"/>
  </bookViews>
  <sheets>
    <sheet name="Administración CF" sheetId="1" r:id="rId1"/>
    <sheet name="LOPCYMAT" sheetId="2" r:id="rId2"/>
    <sheet name="Servicios Sucursa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a">'[2]AC-B.3.5 Administraciòn'!#REF!</definedName>
    <definedName name="A_impresión_IM">#REF!</definedName>
    <definedName name="adfsad">#REF!</definedName>
    <definedName name="auditores">[3]tablas!$C$2:$C$7</definedName>
    <definedName name="b">#REF!</definedName>
    <definedName name="calificacion01">#REF!</definedName>
    <definedName name="calificacion02">#REF!</definedName>
    <definedName name="calificacion03">#REF!</definedName>
    <definedName name="calificacion04">#REF!</definedName>
    <definedName name="calificacion05">#REF!</definedName>
    <definedName name="calificacionarlcft">'[2]Calif Guarenas Draft'!$D$34</definedName>
    <definedName name="calificacionarlcftisc">'[2]Calif Guarenas Draft'!$I$34</definedName>
    <definedName name="calificacionponderada">#REF!</definedName>
    <definedName name="calificacionponderadaisc">'[2]Calif Guarenas Draft'!$I$27</definedName>
    <definedName name="d">#REF!</definedName>
    <definedName name="diashabiles2026">#REF!</definedName>
    <definedName name="elarea">#REF!</definedName>
    <definedName name="entidadrazonsocial">[4]POA2026!$A$1</definedName>
    <definedName name="entidadrif">[4]POA2026!$A$2</definedName>
    <definedName name="Factor1">[5]Hoja1!$B$3:$B$6</definedName>
    <definedName name="gerencia">[4]POA2026!$A$4</definedName>
    <definedName name="ghfbtvred">#REF!</definedName>
    <definedName name="hnybfgtrrfed">#REF!</definedName>
    <definedName name="horaslaboralesdia">[4]TABLAS!$F$7</definedName>
    <definedName name="iuykjthyrtg5r42">#REF!</definedName>
    <definedName name="jgfbtvre">#REF!</definedName>
    <definedName name="jghfbytfre">#REF!</definedName>
    <definedName name="jghnfbtvfred">#REF!</definedName>
    <definedName name="jgnhfbytrwefd">#REF!</definedName>
    <definedName name="jhgfbytrf">#REF!</definedName>
    <definedName name="jnghbfgtvfre">#REF!</definedName>
    <definedName name="listaauditores">#REF!</definedName>
    <definedName name="listaferiadosdescripcion">#REF!</definedName>
    <definedName name="listaferiadosfecha">#REF!</definedName>
    <definedName name="listauserid">[3]tablas!$D$2:$D$7</definedName>
    <definedName name="NombreTabla">"Dummy"</definedName>
    <definedName name="ntuhybrtgerf">#REF!</definedName>
    <definedName name="ntyrhbtgerf">#REF!</definedName>
    <definedName name="nybhrtgerfwed">#REF!</definedName>
    <definedName name="nyrhtbegrf">#REF!</definedName>
    <definedName name="nyrhtbegrfe">#REF!</definedName>
    <definedName name="nyrtbhegrwf">#REF!</definedName>
    <definedName name="rango01max">#REF!</definedName>
    <definedName name="rango01min">'[2]Calif Guarenas Draft'!$S$70</definedName>
    <definedName name="rango02max">#REF!</definedName>
    <definedName name="rango02min">'[2]Calif Guarenas Draft'!$S$71</definedName>
    <definedName name="rango03max">#REF!</definedName>
    <definedName name="rango03min">'[2]Calif Guarenas Draft'!$S$72</definedName>
    <definedName name="rango04max">#REF!</definedName>
    <definedName name="rango04min">'[2]Calif Guarenas Draft'!$S$80</definedName>
    <definedName name="rango05min">'[2]Calif Guarenas Draft'!$S$81</definedName>
    <definedName name="Recover">[6]Macro1!$A$328</definedName>
    <definedName name="rutaobjetivo">'[2]Calif Guarenas Draft'!$G$10</definedName>
    <definedName name="sucursal">[3]tablas!$A$2:$A$29</definedName>
    <definedName name="TableName">"Dummy"</definedName>
    <definedName name="tnhybrtgerfwd">#REF!</definedName>
    <definedName name="valorobjajustado">#REF!</definedName>
    <definedName name="valorobjetivo">[3]Tacometro!$D$2</definedName>
    <definedName name="vicepresidencia">[4]POA2026!$A$3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7" i="3" l="1"/>
  <c r="O76" i="3"/>
  <c r="O75" i="3"/>
  <c r="O74" i="3"/>
  <c r="O73" i="3"/>
  <c r="O72" i="3"/>
  <c r="O71" i="3"/>
  <c r="I64" i="3"/>
  <c r="L64" i="3" s="1"/>
  <c r="I60" i="3"/>
  <c r="L60" i="3" s="1"/>
  <c r="M54" i="3"/>
  <c r="M53" i="3"/>
  <c r="M52" i="3"/>
  <c r="M51" i="3"/>
  <c r="M50" i="3"/>
  <c r="M49" i="3"/>
  <c r="M48" i="3"/>
  <c r="P77" i="3" s="1"/>
  <c r="F77" i="3" s="1"/>
  <c r="S77" i="3" s="1"/>
  <c r="M47" i="3"/>
  <c r="M46" i="3"/>
  <c r="M45" i="3"/>
  <c r="M44" i="3"/>
  <c r="M43" i="3"/>
  <c r="M42" i="3"/>
  <c r="M41" i="3"/>
  <c r="M40" i="3"/>
  <c r="M39" i="3"/>
  <c r="P76" i="3" s="1"/>
  <c r="F76" i="3" s="1"/>
  <c r="S76" i="3" s="1"/>
  <c r="M38" i="3"/>
  <c r="M37" i="3"/>
  <c r="M36" i="3"/>
  <c r="M35" i="3"/>
  <c r="I62" i="3" s="1"/>
  <c r="L62" i="3" s="1"/>
  <c r="M34" i="3"/>
  <c r="M33" i="3"/>
  <c r="M32" i="3"/>
  <c r="M31" i="3"/>
  <c r="M30" i="3"/>
  <c r="P74" i="3" s="1"/>
  <c r="F74" i="3" s="1"/>
  <c r="S74" i="3" s="1"/>
  <c r="M29" i="3"/>
  <c r="I61" i="3" s="1"/>
  <c r="L61" i="3" s="1"/>
  <c r="M28" i="3"/>
  <c r="M27" i="3"/>
  <c r="M26" i="3"/>
  <c r="M25" i="3"/>
  <c r="M24" i="3"/>
  <c r="M23" i="3"/>
  <c r="P73" i="3" s="1"/>
  <c r="F73" i="3" s="1"/>
  <c r="S73" i="3" s="1"/>
  <c r="M22" i="3"/>
  <c r="M21" i="3"/>
  <c r="M20" i="3"/>
  <c r="M19" i="3"/>
  <c r="M18" i="3"/>
  <c r="M17" i="3"/>
  <c r="P72" i="3" s="1"/>
  <c r="F72" i="3" s="1"/>
  <c r="S72" i="3" s="1"/>
  <c r="M16" i="3"/>
  <c r="M15" i="3"/>
  <c r="M14" i="3"/>
  <c r="M13" i="3"/>
  <c r="M12" i="3"/>
  <c r="M11" i="3"/>
  <c r="M10" i="3"/>
  <c r="M9" i="3"/>
  <c r="S52" i="2"/>
  <c r="O51" i="2"/>
  <c r="O50" i="2"/>
  <c r="O49" i="2"/>
  <c r="O48" i="2"/>
  <c r="O47" i="2"/>
  <c r="H44" i="2"/>
  <c r="H40" i="2"/>
  <c r="I40" i="2" s="1"/>
  <c r="H37" i="2"/>
  <c r="I37" i="2" s="1"/>
  <c r="M32" i="2"/>
  <c r="M31" i="2"/>
  <c r="M30" i="2"/>
  <c r="M29" i="2"/>
  <c r="M28" i="2"/>
  <c r="P51" i="2" s="1"/>
  <c r="F51" i="2" s="1"/>
  <c r="S51" i="2" s="1"/>
  <c r="M27" i="2"/>
  <c r="M26" i="2"/>
  <c r="M25" i="2"/>
  <c r="P50" i="2" s="1"/>
  <c r="F50" i="2" s="1"/>
  <c r="S50" i="2" s="1"/>
  <c r="M24" i="2"/>
  <c r="M23" i="2"/>
  <c r="H39" i="2" s="1"/>
  <c r="I39" i="2" s="1"/>
  <c r="M22" i="2"/>
  <c r="M21" i="2"/>
  <c r="M20" i="2"/>
  <c r="M19" i="2"/>
  <c r="M18" i="2"/>
  <c r="M17" i="2"/>
  <c r="P49" i="2" s="1"/>
  <c r="F49" i="2" s="1"/>
  <c r="S49" i="2" s="1"/>
  <c r="M16" i="2"/>
  <c r="M15" i="2"/>
  <c r="M14" i="2"/>
  <c r="M13" i="2"/>
  <c r="P48" i="2" s="1"/>
  <c r="F48" i="2" s="1"/>
  <c r="S48" i="2" s="1"/>
  <c r="M12" i="2"/>
  <c r="M11" i="2"/>
  <c r="M10" i="2"/>
  <c r="M9" i="2"/>
  <c r="P47" i="2" s="1"/>
  <c r="F47" i="2" s="1"/>
  <c r="S47" i="2" s="1"/>
  <c r="P71" i="3" l="1"/>
  <c r="F71" i="3" s="1"/>
  <c r="S71" i="3" s="1"/>
  <c r="T71" i="3" s="1"/>
  <c r="I58" i="3"/>
  <c r="U72" i="3"/>
  <c r="T72" i="3"/>
  <c r="U77" i="3"/>
  <c r="T77" i="3"/>
  <c r="L58" i="3"/>
  <c r="U74" i="3"/>
  <c r="T74" i="3"/>
  <c r="U73" i="3"/>
  <c r="T73" i="3"/>
  <c r="U76" i="3"/>
  <c r="T76" i="3"/>
  <c r="I59" i="3"/>
  <c r="L59" i="3" s="1"/>
  <c r="I63" i="3"/>
  <c r="L63" i="3" s="1"/>
  <c r="P75" i="3"/>
  <c r="F75" i="3" s="1"/>
  <c r="S75" i="3" s="1"/>
  <c r="T47" i="2"/>
  <c r="U47" i="2"/>
  <c r="R47" i="2"/>
  <c r="U51" i="2"/>
  <c r="T51" i="2"/>
  <c r="R51" i="2"/>
  <c r="R49" i="2"/>
  <c r="U49" i="2"/>
  <c r="T49" i="2"/>
  <c r="R48" i="2"/>
  <c r="U48" i="2"/>
  <c r="T48" i="2"/>
  <c r="U50" i="2"/>
  <c r="T50" i="2"/>
  <c r="R50" i="2"/>
  <c r="H38" i="2"/>
  <c r="I38" i="2" s="1"/>
  <c r="H36" i="2"/>
  <c r="R72" i="3" l="1"/>
  <c r="R73" i="3"/>
  <c r="R74" i="3"/>
  <c r="R71" i="3"/>
  <c r="U71" i="3"/>
  <c r="L65" i="3"/>
  <c r="I68" i="3" s="1"/>
  <c r="I65" i="3"/>
  <c r="R75" i="3"/>
  <c r="U75" i="3"/>
  <c r="T75" i="3"/>
  <c r="R77" i="3"/>
  <c r="R76" i="3"/>
  <c r="I36" i="2"/>
  <c r="I41" i="2" s="1"/>
  <c r="H41" i="2"/>
</calcChain>
</file>

<file path=xl/sharedStrings.xml><?xml version="1.0" encoding="utf-8"?>
<sst xmlns="http://schemas.openxmlformats.org/spreadsheetml/2006/main" count="459" uniqueCount="346">
  <si>
    <t>Atributos Cartelera Fiscal/ Firmas Autorizadas</t>
  </si>
  <si>
    <t>AC-B.3.5.1</t>
  </si>
  <si>
    <t>Validar que la Cartelera Fiscal este ubicada en la entrada de la sucursal en un lugar visible.</t>
  </si>
  <si>
    <t>AC-B.3.52</t>
  </si>
  <si>
    <t>Verificar que la cartelera contenga la documentación,  con copia de los documentos obligatorios, minimos necesarios  y que estos esten legibles y vigentes.</t>
  </si>
  <si>
    <t>AC-B.3.5.3</t>
  </si>
  <si>
    <t>Validar que las declaraciones de impuestos municipales esten al dia. (Se deben revisar las ultimas Tres (3) declaraciones).</t>
  </si>
  <si>
    <t>AC-B.3.5.4</t>
  </si>
  <si>
    <t>Se efectuó  levantamiento de las firmas autorizadas de la Sucursal, ¿Resultó conforme?</t>
  </si>
  <si>
    <t>Atributos Evaluación ADS</t>
  </si>
  <si>
    <t>AC-B.3.5.5</t>
  </si>
  <si>
    <t>AC-B.3.5.6</t>
  </si>
  <si>
    <t>AC-B.3.5.7</t>
  </si>
  <si>
    <t>AC-B.3.5.8</t>
  </si>
  <si>
    <t>AC-B.3.5.9</t>
  </si>
  <si>
    <t>AC-B.3.5.10</t>
  </si>
  <si>
    <t>AC-B.3.5.11</t>
  </si>
  <si>
    <t>Verificar que la relación de egreso se encuentre firmada por el administrador y el ADS</t>
  </si>
  <si>
    <t>Validar que las facturas soportes del pago cumplan con la normativa establecida por el SENIAT y presenten el sello de pagado.</t>
  </si>
  <si>
    <t>Validar que el (monto, ADS y fecha del egreso) corresponda con los soportes presentados.</t>
  </si>
  <si>
    <t>Verificar que existan copias de los billetes incluyendo el vuelto y que los mismos esten firmados por el ADS</t>
  </si>
  <si>
    <t xml:space="preserve">Verificar que no existen diferencias en montos en la emisión del egreso vs  listado de comisiones. </t>
  </si>
  <si>
    <t xml:space="preserve">Verificar que la obligacion se encuentre con estatus de PAG a nivel de Sistema </t>
  </si>
  <si>
    <t>Verificar que los soportes solicitados sean entregados de manera satisfactoria</t>
  </si>
  <si>
    <t xml:space="preserve">CONTRALORÍA </t>
  </si>
  <si>
    <t>REFERENCIA:</t>
  </si>
  <si>
    <t>AC-B.3.6 Sucursal XXXX</t>
  </si>
  <si>
    <t>CUESTIONARIO LOPCYMAT</t>
  </si>
  <si>
    <t>FECHA:  06-04-2026</t>
  </si>
  <si>
    <t>N°</t>
  </si>
  <si>
    <t>CUESTIONARIO DE CUMPLIMIENTO.</t>
  </si>
  <si>
    <t>Respuesta</t>
  </si>
  <si>
    <t>Ponderación</t>
  </si>
  <si>
    <t>I. PSST Y SERVICIOS</t>
  </si>
  <si>
    <t>1.1</t>
  </si>
  <si>
    <r>
      <t xml:space="preserve">¿La entidad posee un Programa de Seguridad y Salud en el Trabajo (PSST) propio, adaptado a sus procesos y formalmente aprobado? </t>
    </r>
    <r>
      <rPr>
        <i/>
        <sz val="10"/>
        <rFont val="Arial"/>
        <family val="2"/>
      </rPr>
      <t>(Art. 61 LOPCYMAT / NT-01-2008)</t>
    </r>
  </si>
  <si>
    <t>Sí</t>
  </si>
  <si>
    <t>1.2</t>
  </si>
  <si>
    <r>
      <t xml:space="preserve">¿Existe identificación, evaluación y matriz de control de procesos peligrosos y riesgos en cada puesto de trabajo? </t>
    </r>
    <r>
      <rPr>
        <i/>
        <sz val="10"/>
        <rFont val="Arial"/>
        <family val="2"/>
      </rPr>
      <t>(Art. 56 Num. 3 y 4 LOPCYMAT / NT-01-2008)</t>
    </r>
  </si>
  <si>
    <t>No</t>
  </si>
  <si>
    <t>1.3</t>
  </si>
  <si>
    <r>
      <t xml:space="preserve">¿El centro cuenta con un Servicio de Seguridad y Salud en el Trabajo (SSST) propio o mancomunado operativo según la nómina? </t>
    </r>
    <r>
      <rPr>
        <i/>
        <sz val="10"/>
        <rFont val="Arial"/>
        <family val="2"/>
      </rPr>
      <t>(Art. 39 y 40 LOPCYMAT / Art. 14 RP-LOPCYMAT)</t>
    </r>
  </si>
  <si>
    <t>II. COMITÉ Y DELEGADOS</t>
  </si>
  <si>
    <t>2.1</t>
  </si>
  <si>
    <r>
      <t xml:space="preserve">¿Los Delegados de Prevención fueron electos por los trabajadores, poseen certificado de registro en INPSASEL y ejercen sus atribuciones? </t>
    </r>
    <r>
      <rPr>
        <i/>
        <sz val="10"/>
        <rFont val="Arial"/>
        <family val="2"/>
      </rPr>
      <t>(Art. 41 y 42 LOPCYMAT)</t>
    </r>
  </si>
  <si>
    <t>2.2</t>
  </si>
  <si>
    <r>
      <t xml:space="preserve">¿Está constituido y formalmente registrado ante el INPSASEL el Comité de Seguridad y Salud Laboral (CSSL) de forma paritaria? </t>
    </r>
    <r>
      <rPr>
        <i/>
        <sz val="10"/>
        <rFont val="Arial"/>
        <family val="2"/>
      </rPr>
      <t>(Art. 46 LOPCYMAT)</t>
    </r>
  </si>
  <si>
    <t>2.3</t>
  </si>
  <si>
    <r>
      <t xml:space="preserve">¿El CSSL se reúne periódicamente (mínimo una vez al mes) y mantiene el Libro de Actas con acuerdos y firmas al día? </t>
    </r>
    <r>
      <rPr>
        <i/>
        <sz val="10"/>
        <rFont val="Arial"/>
        <family val="2"/>
      </rPr>
      <t>(Art. 48 LOPCYMAT)</t>
    </r>
  </si>
  <si>
    <t>III. CONDICIONES E INSTALACIONES</t>
  </si>
  <si>
    <t>3.1</t>
  </si>
  <si>
    <r>
      <t xml:space="preserve">¿Se realizan inspecciones periódicas documentadas en las instalaciones para detectar y corregir condiciones inseguras o insalubres? </t>
    </r>
    <r>
      <rPr>
        <i/>
        <sz val="10"/>
        <rFont val="Arial"/>
        <family val="2"/>
      </rPr>
      <t>(Art. 40 Num. 4 LOPCYMAT)</t>
    </r>
  </si>
  <si>
    <t>3.2</t>
  </si>
  <si>
    <r>
      <t xml:space="preserve">¿Los puestos, pasillos y áreas comunes cumplen con condiciones óptimas de orden, limpieza, iluminación y ventilación? </t>
    </r>
    <r>
      <rPr>
        <i/>
        <sz val="10"/>
        <rFont val="Arial"/>
        <family val="2"/>
      </rPr>
      <t>(Art. 59 Num. 1 y 2 LOPCYMAT)</t>
    </r>
  </si>
  <si>
    <t>3.3</t>
  </si>
  <si>
    <r>
      <t xml:space="preserve">¿El mobiliario (sillas, escritorios) y las herramientas cumplen con criterios ergonómicos ajustados a los trabajadores? </t>
    </r>
    <r>
      <rPr>
        <i/>
        <sz val="10"/>
        <rFont val="Arial"/>
        <family val="2"/>
      </rPr>
      <t>(Art. 59 Num. 5 LOPCYMAT)</t>
    </r>
  </si>
  <si>
    <t>3.4</t>
  </si>
  <si>
    <r>
      <t xml:space="preserve">¿Las salas sanitarias y vestuarios están diferenciados por sexo, operativos y dotados de agua, jabón y papel higiénico suficientes? </t>
    </r>
    <r>
      <rPr>
        <i/>
        <sz val="10"/>
        <rFont val="Arial"/>
        <family val="2"/>
      </rPr>
      <t>(Art. 59 Num. 3 LOPCYMAT)</t>
    </r>
  </si>
  <si>
    <t>3.5</t>
  </si>
  <si>
    <r>
      <t xml:space="preserve">¿Se garantiza el suministro continuo de agua potable para consumo y áreas higiénicas y dignas para la alimentación? </t>
    </r>
    <r>
      <rPr>
        <i/>
        <sz val="10"/>
        <rFont val="Arial"/>
        <family val="2"/>
      </rPr>
      <t>(Art. 59 Num. 4 y Art. 56 Num. 6 LOPCYMAT)</t>
    </r>
  </si>
  <si>
    <t>IV. VIGILANCIA, FORMACIÓN Y EPP</t>
  </si>
  <si>
    <t>4.1</t>
  </si>
  <si>
    <r>
      <t xml:space="preserve">¿Se mantiene el Sistema de Vigilancia Epidemiológica ejecutando los exámenes pre-empleo, periódicos, pre y post-vacacionales y post-empleo? </t>
    </r>
    <r>
      <rPr>
        <i/>
        <sz val="10"/>
        <rFont val="Arial"/>
        <family val="2"/>
      </rPr>
      <t>(Art. 27 RP-LOPCYMAT)</t>
    </r>
  </si>
  <si>
    <t>4.2</t>
  </si>
  <si>
    <r>
      <t xml:space="preserve">¿Cada trabajador recibió y firmó por escrito la Notificación de Principios de Prevención y Condiciones Peligrosas de su puesto? </t>
    </r>
    <r>
      <rPr>
        <i/>
        <sz val="10"/>
        <rFont val="Arial"/>
        <family val="2"/>
      </rPr>
      <t>(Art. 56 Num. 3 LOPCYMAT)</t>
    </r>
  </si>
  <si>
    <t>4.3</t>
  </si>
  <si>
    <r>
      <t xml:space="preserve">¿Se dota de forma gratuita con Equipos de Protección Personal (EPP) certificados, registrando constancia escrita de entrega y uso? </t>
    </r>
    <r>
      <rPr>
        <i/>
        <sz val="10"/>
        <rFont val="Arial"/>
        <family val="2"/>
      </rPr>
      <t>(Art. 56 Num. 5 LOPCYMAT)</t>
    </r>
  </si>
  <si>
    <t>4.4</t>
  </si>
  <si>
    <r>
      <t xml:space="preserve">¿Se cumple el Programa de Educación Teórica-Práctica en seguridad y salud, garantizando un mínimo de 16 horas trimestrales por trabajador? </t>
    </r>
    <r>
      <rPr>
        <i/>
        <sz val="10"/>
        <rFont val="Arial"/>
        <family val="2"/>
      </rPr>
      <t>(Art. 53 Num. 2 LOPCYMAT / Art. 208 RP-LOPCYMAT)</t>
    </r>
  </si>
  <si>
    <t>V. EMERGENCIAS Y PROTECCIÓN</t>
  </si>
  <si>
    <t>5.1</t>
  </si>
  <si>
    <r>
      <t xml:space="preserve">¿Se cuenta con un Plan de Emergencias y Contingencias, manteniendo las vías de evacuación despejadas, iluminadas y señalizadas? </t>
    </r>
    <r>
      <rPr>
        <i/>
        <sz val="10"/>
        <rFont val="Arial"/>
        <family val="2"/>
      </rPr>
      <t>(Art. 56 LOPCYMAT / COVENIN 1870)</t>
    </r>
  </si>
  <si>
    <t>5.2</t>
  </si>
  <si>
    <r>
      <t xml:space="preserve">¿Las instalaciones poseen extintores portátiles de incendio adecuados al tipo de riesgo (PQS / CO2), accesibles y señalizados? </t>
    </r>
    <r>
      <rPr>
        <i/>
        <sz val="10"/>
        <rFont val="Arial"/>
        <family val="2"/>
      </rPr>
      <t>(COVENIN 1040 / COVENIN 810)</t>
    </r>
  </si>
  <si>
    <t>5.3</t>
  </si>
  <si>
    <r>
      <t xml:space="preserve">¿Los extintores y sistemas contra incendio tienen inspección, prueba hidrostática y etiqueta de recarga vigente? </t>
    </r>
    <r>
      <rPr>
        <i/>
        <sz val="10"/>
        <rFont val="Arial"/>
        <family val="2"/>
      </rPr>
      <t>(COVENIN 3049 / COVENIN 1040)</t>
    </r>
  </si>
  <si>
    <t>5.4</t>
  </si>
  <si>
    <r>
      <t xml:space="preserve">¿Está conformada, entrenada y dotada la Brigada de Emergencias / Lucha Contra Incendios, ejecutando simulacros documentados? </t>
    </r>
    <r>
      <rPr>
        <i/>
        <sz val="10"/>
        <rFont val="Arial"/>
        <family val="2"/>
      </rPr>
      <t>(Art. 40 Num. 11 LOPCYMAT)</t>
    </r>
  </si>
  <si>
    <t>5.5</t>
  </si>
  <si>
    <r>
      <t xml:space="preserve">¿La entidad posee Certificado de Inspección de Seguridad contra Incendios (Bomberos) o Permiso de Habitabilidad vigente? </t>
    </r>
    <r>
      <rPr>
        <i/>
        <sz val="10"/>
        <rFont val="Arial"/>
        <family val="2"/>
      </rPr>
      <t>(Ley Org. Servicio de Bomberos / Art. 56 LOPCYMAT)</t>
    </r>
  </si>
  <si>
    <t>Fila</t>
  </si>
  <si>
    <t>B: Bloque / Segmento LOPCYMAT</t>
  </si>
  <si>
    <t>Peso (%)</t>
  </si>
  <si>
    <t>Cumplimiento (%)</t>
  </si>
  <si>
    <t>Aporte Ponderado</t>
  </si>
  <si>
    <t>I. PSST y Servicios de Seguridad</t>
  </si>
  <si>
    <t>II. Comité (CSSL) y Delegados</t>
  </si>
  <si>
    <t>III. Condiciones e Instalaciones</t>
  </si>
  <si>
    <t>IV. Vigilancia Salud, Formación y EPP</t>
  </si>
  <si>
    <t>V. Emergencias y Protección</t>
  </si>
  <si>
    <t>ÍNDICE CUMPLIMIENTO LOPCYMAT</t>
  </si>
  <si>
    <t>Comentarios/Observaciones</t>
  </si>
  <si>
    <t>Puntos CrÍticos Identificados en la Evaluación</t>
  </si>
  <si>
    <t>Cuenta</t>
  </si>
  <si>
    <t>Evalua</t>
  </si>
  <si>
    <t>FASE (1)</t>
  </si>
  <si>
    <t>FASE (2)</t>
  </si>
  <si>
    <t>FASE (3)</t>
  </si>
  <si>
    <t>FASE (4)</t>
  </si>
  <si>
    <t>FASE (5)</t>
  </si>
  <si>
    <t>Modo de Uso para Comentarios /Observaciones:</t>
  </si>
  <si>
    <t>1. Marque en la lista desplegable la respuesta correcta. (Columna I).Entendiendo que la lista comprende 5 Fases.</t>
  </si>
  <si>
    <r>
      <t xml:space="preserve">2. En los casos donde resulte </t>
    </r>
    <r>
      <rPr>
        <b/>
        <sz val="10"/>
        <rFont val="Arial"/>
        <family val="2"/>
      </rPr>
      <t>NEGATIVO</t>
    </r>
    <r>
      <rPr>
        <sz val="11"/>
        <color theme="1"/>
        <rFont val="Calibri"/>
        <family val="2"/>
        <scheme val="minor"/>
      </rPr>
      <t>, de forma automàtica se colocarà el nombre de la Frase y se activarà el color "GRIS", señalando que el auditor</t>
    </r>
    <r>
      <rPr>
        <b/>
        <sz val="10"/>
        <rFont val="Arial"/>
        <family val="2"/>
      </rPr>
      <t xml:space="preserve"> DEBE INCLUIR BREVE RESEÑA DEL MOTIVO DE RESPUESTA NEGATIVA</t>
    </r>
  </si>
  <si>
    <t>3. En funciòn del Punto 2, Las fases que resulten fallidas, se iràn de forma automàtica a un cuadro de "LOPCYMAT" junto con la RESEÑA o JUSTIFICACIÔN inidcada por el auditor, a manera resumen.</t>
  </si>
  <si>
    <t>CUESTIONARIO ADMINISTRACIÓN Y SERVICIOS EN SUCURSALES</t>
  </si>
  <si>
    <t>Nro</t>
  </si>
  <si>
    <t>PREGUNTAS A EVALUAR POR SEGMENTOS</t>
  </si>
  <si>
    <t>1. INFRAESTRUCTURA FÍSICA E IMAGEN</t>
  </si>
  <si>
    <t>¿La distribución física y funcional de la sucursal es adecuada para la operación diaria, facilitando el flujo libre de clientes y empleados?</t>
  </si>
  <si>
    <t>¿La fachada, señalización externa y los avisos de identificación comercial se encuentran visibles y en buen estado de conservación?</t>
  </si>
  <si>
    <t>¿El mobiliario de la zona de espera (sillas, butacas) es suficiente para la capacidad máxima de atención y se mantiene en buen estado?</t>
  </si>
  <si>
    <t>1.4</t>
  </si>
  <si>
    <t>¿La cartelera informativa institucional está actualizada, visible al público y cumple con los requerimientos legales vigentes?</t>
  </si>
  <si>
    <t>1.5</t>
  </si>
  <si>
    <t>¿El mantenimiento general (limpieza, pintura, iluminación y climatización) se ejecuta programadamente y es adecuado para la sucursal?</t>
  </si>
  <si>
    <t>1.6</t>
  </si>
  <si>
    <t>¿Las estaciones de trabajo del personal cuentan con las condiciones ergonómicas mínimas necesarias para sus labores?</t>
  </si>
  <si>
    <t>1.7</t>
  </si>
  <si>
    <t>¿Se dispone de un área de comedor/almuerzo independiente, limpia y dotada para el uso del personal que labora en la sucursal?</t>
  </si>
  <si>
    <t>2. ATENCIÓN AL CLIENTE Y CALIDAD</t>
  </si>
  <si>
    <t>¿El horario de trabajo y de atención al público se encuentra publicado y claramente visible en los accesos de la sucursal?</t>
  </si>
  <si>
    <t>¿La sucursal opera y cumple con el horario corrido o la jornada establecida, sin interrupción no autorizada de servicios al cliente?</t>
  </si>
  <si>
    <t>¿Se cuenta con un sistema (mecanizado, digital o manual normado) para la gestión ordenada de turnos y colas de atención?</t>
  </si>
  <si>
    <t>2.4</t>
  </si>
  <si>
    <t>¿Se cumple formalmente con la atención prioritaria obligatoria para adultos mayores, personas con discapacidad y embarazadas?</t>
  </si>
  <si>
    <t>2.5</t>
  </si>
  <si>
    <t>¿Se dispone de un mecanismo formal y accesible (buzón, libro o canal digital) para la recepción y trámite de reclamos de los usuarios?</t>
  </si>
  <si>
    <t>3. CAJA Y RESGUARDO DE VALORES</t>
  </si>
  <si>
    <t>¿El área de caja se encuentra físicamente delimitada, separada del público y con mecanismos de acceso restringido?</t>
  </si>
  <si>
    <t>¿Se aplican procedimientos formales para el resguardo inmediato, arqueo y traslado seguro del efectivo/cheques recibidos en sucursal?</t>
  </si>
  <si>
    <t>¿Las taquillas de caja disponen de detectores operativos (luz ultravioleta/contadoras) para verificar la autenticidad de los billetes?</t>
  </si>
  <si>
    <t>¿Las llaves, combinaciones de caja fuerte y precintos de seguridad se custodian bajo el principio de control dual o segregación?</t>
  </si>
  <si>
    <t>4. GESTIÓN DEL PERSONAL (RRHH)</t>
  </si>
  <si>
    <t>¿El organigrama funcional de la sucursal se encuentra publicado, completo y actualizado según la estructura corporativa vigente?</t>
  </si>
  <si>
    <t>¿Las funciones desempeñadas operativamente por el personal corresponden de forma estricta al cargo formalizado por Recursos Humanos?</t>
  </si>
  <si>
    <t>¿El personal cumple con el horario de trabajo y las normas de registro de asistencia establecidas por la Compañía?</t>
  </si>
  <si>
    <t>¿El plan anual de vacaciones del personal está elaborado, supervisado y ejecutado para prevenir la acumulación de períodos vencidos?</t>
  </si>
  <si>
    <t>4.5</t>
  </si>
  <si>
    <t>¿Se dispone en la sucursal de los manuales operativos y de procedimientos vigentes para consulta del personal?</t>
  </si>
  <si>
    <t>5. SEGURIDAD FÍSICA Y ACCESOS</t>
  </si>
  <si>
    <t>¿Se cuenta con servicio de vigilancia física diurna y/o nocturna formalizado o de resguardo institucional acorde al riesgo de la zona?</t>
  </si>
  <si>
    <t>¿El sistema de alarma y seguridad electrónica (cámaras CCTV, sensores, botones de pánico) se encuentra 100% operativo?</t>
  </si>
  <si>
    <t>¿Las rutas de evacuación, salidas de emergencia y extintores están claramente señalizados y con inspección vigente?</t>
  </si>
  <si>
    <t>¿El acceso a áreas sensibles (archivos de expedientes, cuartos técnicos y caja) está bloqueado y controlado para personas externas?</t>
  </si>
  <si>
    <t>6. TECNOLOGÍA Y CONTINUIDAD</t>
  </si>
  <si>
    <t>6.1</t>
  </si>
  <si>
    <t>¿El cuarto o gabinete de telecomunicaciones/servidores cuenta con climatización, ventilación y protección contra factores ambientales?</t>
  </si>
  <si>
    <t>6.2</t>
  </si>
  <si>
    <t>¿El cuarto o gabinete técnico se encuentra cerrado con llave/candado y su ubicación impide el acceso de personas externas o público?</t>
  </si>
  <si>
    <t>6.3</t>
  </si>
  <si>
    <t>¿La sucursal cuenta con respaldo eléctrico operativo (UPS para equipos críticos y/o planta eléctrica) que soporte fallas comerciales?</t>
  </si>
  <si>
    <t>6.4</t>
  </si>
  <si>
    <t>¿Se cuenta con un enlace o canal de datos secundario (respaldo/contingencia) para garantizar la continuidad del servicio ante caídas?</t>
  </si>
  <si>
    <t>6.5</t>
  </si>
  <si>
    <t>¿El personal de la sucursal conoce los procedimientos elementales del Plan de Continuidad (BCP/DRP) para operar ante fallas o desastres?</t>
  </si>
  <si>
    <t>6.6</t>
  </si>
  <si>
    <t>¿El inventario de activos informáticos (PC, impresoras, periféricos) coincide con los equipos asignados e instalados en las estaciones?</t>
  </si>
  <si>
    <t>6.7</t>
  </si>
  <si>
    <t>¿Se cuenta con un procedimiento formal de desincorporación para evitar la acumulación de equipos dañados u obsoletos en la oficina?</t>
  </si>
  <si>
    <t>6.8</t>
  </si>
  <si>
    <t>¿Los movimientos de equipos (traslados, reparaciones, préstamos) son autorizados, registrados y notificados al área de TI/Activos?</t>
  </si>
  <si>
    <t>7. SEGURIDAD DE INFORMACIÓN</t>
  </si>
  <si>
    <t>7.1</t>
  </si>
  <si>
    <t>¿Los accesos, altas y bajas del personal en los sistemas de la sucursal se gestionan mediante formularios formales de solicitud de perfil?</t>
  </si>
  <si>
    <t>7.2</t>
  </si>
  <si>
    <t>¿Se encuentran restringidos los puertos USB y de almacenamiento externo en las estaciones de trabajo del área de atención y caja?</t>
  </si>
  <si>
    <t>7.3</t>
  </si>
  <si>
    <t>¿Las estaciones de trabajo aplican bloqueo automático de pantalla tras inactividad o el usuario bloquea sesión al retirarse del puesto?</t>
  </si>
  <si>
    <t>7.4</t>
  </si>
  <si>
    <t>¿Cada analista de la sucursal utiliza exclusivamente sus propias credenciales nominativas, prohibiéndose el uso de cuentas compartidas?</t>
  </si>
  <si>
    <t>7.5</t>
  </si>
  <si>
    <t>¿Se cumple la "Política de Escritorio Limpio", evitando dejar documentos con datos sensibles de clientes expuestos en las mesas?</t>
  </si>
  <si>
    <t>7.6</t>
  </si>
  <si>
    <t>¿Los expedientes y documentos con datos de clientes o balances se resguardan en archivadores con llave al finalizar la jornada?</t>
  </si>
  <si>
    <t>7.7</t>
  </si>
  <si>
    <t>¿Se cuenta con una destructora de papel operativa o un procedimiento seguro para desechar documentos físicos con información confidencial?</t>
  </si>
  <si>
    <t>Nro.</t>
  </si>
  <si>
    <t>Segmento / Bloque Evaluado</t>
  </si>
  <si>
    <t>Aporte Ponderado (Fórmula Excel)</t>
  </si>
  <si>
    <t>1. Infraestructura Física e Imagen</t>
  </si>
  <si>
    <t>2. Atención al Cliente y Calidad</t>
  </si>
  <si>
    <t>3. Caja y Resguardo de Valores</t>
  </si>
  <si>
    <t>4. Gestión del Personal (RRHH)</t>
  </si>
  <si>
    <t>5. Seguridad Física y Accesos</t>
  </si>
  <si>
    <t>6. Tecnología y Continuidad</t>
  </si>
  <si>
    <t>7. Seguridad de Información</t>
  </si>
  <si>
    <t>ÍNDICE DE MADUREZ (IMS)</t>
  </si>
  <si>
    <t>FASE (6)</t>
  </si>
  <si>
    <t>FASE (7)</t>
  </si>
  <si>
    <t>1. Marque en la lista desplegable la respuesta correcta. (Columna I).Entendiendo que la lista comprende 7 Fases.</t>
  </si>
  <si>
    <t>3. En funciòn del Punto 2, Las fases que resulten fallidas, se iràn de forma automàtica a un cuadro de "Servicios Sucursales" junto con la RESEÑA o JUSTIFICACIÔN inidcada por el auditor, a manera resumen.</t>
  </si>
  <si>
    <t>AC-B.1.1.1</t>
  </si>
  <si>
    <t>Verificar que los Expedientes solicitados sean debidamente recibidos.</t>
  </si>
  <si>
    <t>AC-B.1.1.2</t>
  </si>
  <si>
    <t>Verificar que el expediente contenga la planilla de solicitud correspondiente, y el sello de recibido de la sucursal.</t>
  </si>
  <si>
    <t>AC-B.1.1.3</t>
  </si>
  <si>
    <t>Verificar que la planilla estè firmada (la misma debe corresponder con la C.I ) y huella dactilar del tomador y/o cliente</t>
  </si>
  <si>
    <t>AC-B.1.1.4</t>
  </si>
  <si>
    <t>Validar que los campos de datos personales del tomador y /o cliente se encuentren completados (nombre y apellido completos, C.I, RIF, dirección de residencia, domicilio, correo electrónico y datos telefónicos)</t>
  </si>
  <si>
    <t>AC-B.1.1.5</t>
  </si>
  <si>
    <t xml:space="preserve">Validar que los datos del bien asegurable, se encuentren completados (marca, modelo, año, color, serial de carrocería, serial del motor), e información respectivas coberturas amparadas.
</t>
  </si>
  <si>
    <t>AC-B.1.1.6</t>
  </si>
  <si>
    <t>Verificar que los soportes se encuentren en el expediente digital o físico:  C.I y RIF vigente, Certificado de Origen o Título de Propieda del bien asegurable, identidad del conductor habitual vigentes (C.I, RIF, Carnet de Trabajo),  Referencia Bancaria, Declaración de ISLR y Constancia de Verificación de Datos.</t>
  </si>
  <si>
    <t>AC-B.1.1.7</t>
  </si>
  <si>
    <t>En caso de ausencia de soportes sobre el punto anterior, validar si existe un seguimiento efectivo de la gestiòn en Acselx. Mínimo 3 reseñas de recordatorio solicitando la documentaciòn.</t>
  </si>
  <si>
    <t>AC-B.1.1.8</t>
  </si>
  <si>
    <t>Validar que el vehículo asegurado se encuentre dentro del rango de vehículos aceptados para la suscripción</t>
  </si>
  <si>
    <t>AC-B.1.1.9</t>
  </si>
  <si>
    <t>Verificar que la información cargada en sistema, corresponde a lo reflejado en documentos del vehículo: marca, modelo, color, año, seriales del vehículo</t>
  </si>
  <si>
    <t>AC-B.1.1.10</t>
  </si>
  <si>
    <t>Validar que la suma asegurada del vehículo se corresponda al valor INMA en Sistema Acselx. En caso de ser un vehìculo 0K al monto de la factura proforma</t>
  </si>
  <si>
    <t>AC-B.1.1.11</t>
  </si>
  <si>
    <t>Verificar la existencia inspección física o digital del vehículo (si aplica por año/modelo). Fotos obligatorias: cuatro lados, seriales motor/carrocería, tablero y/o marcaje de kilometraje. Informe o valoración técnica del perito antes de emisión en Acselx</t>
  </si>
  <si>
    <t>AC-B.1.1.12</t>
  </si>
  <si>
    <t>Validar que el vehículo asegurado no presente daños, caso contrario, deben estar excluidos en anexos. (Soporte de anexos en fisico en expediente y registrados en Acselx)</t>
  </si>
  <si>
    <t>AC-B.1.1.13</t>
  </si>
  <si>
    <t>Verificar que las tasas aplicadas en suscripciones RCV, se aplique el cambio Referencial (TCR) vigente según SUDEASEG, Gaceta Oficial Extraordinaria Nº 6.835, publicada 3/9/2024</t>
  </si>
  <si>
    <t>AC-B.1.1.14</t>
  </si>
  <si>
    <t>Verificar y comprobar que exista el cobro de la prima en el sistema Acselx</t>
  </si>
  <si>
    <t>AR-LC-FT-FPADM y otros ilícitos</t>
  </si>
  <si>
    <t>AR\LC AUTO 1.1</t>
  </si>
  <si>
    <t>Validar que la solicitud de seguros se encuentre debidamente completada en todos sus campos, firmada y con la huella dactilar del solicitante, incluyendo la Declaraciòn Jurada de Origen de Fondos.</t>
  </si>
  <si>
    <t>AR\LC AUTO 1.2</t>
  </si>
  <si>
    <t>Verificar existencia de Contrato suscrito (Anexos, Condicionados). Validar la Identificación del Beneficiario Final.</t>
  </si>
  <si>
    <t>AR\LC AUTO 1.3</t>
  </si>
  <si>
    <t xml:space="preserve">Verificar Documentaciòn de identidad del solicitante: C.I o Pasaporte /  RIF y su debida  validaciòn en Portales WEB Pùblicos (CNE , SENIAT y/o SSO), a fines de comprobar su autenticidad. </t>
  </si>
  <si>
    <t>AR\LC AUTO 1.4</t>
  </si>
  <si>
    <t>Verificar que el expediente cuente con Referencias Bancarias, Ultima declaracion I.S.L.R.</t>
  </si>
  <si>
    <t>AR\LC AUTO 1.5</t>
  </si>
  <si>
    <t>Verificar existencias de Registro Mercantil / Documento Constitutivo / Acta  Asamblea  Accionistas (Modificaciones). Casos de Renovcaciones, debe existir Constancia de Actualizaciòn de Datos (frecuencia anual).</t>
  </si>
  <si>
    <t>AR\LC AUTO 1.6</t>
  </si>
  <si>
    <t>Verificar la debida diligencia cuando una Persona es Políticamente Expuesta.</t>
  </si>
  <si>
    <t>AR\LC AUTO 1.7</t>
  </si>
  <si>
    <t>Validar el Soporte de Riesgo para las operaciones en Actividades y Profesiones No Financieras Designadas.</t>
  </si>
  <si>
    <t>AR\LC AUTO 1.8</t>
  </si>
  <si>
    <t>Soporte de calificación de Riesgo efectuado por la UAR (Art 25, 26, 27).</t>
  </si>
  <si>
    <t>Atributos AUTO Suscripción</t>
  </si>
  <si>
    <t>AC-B.2.2.1</t>
  </si>
  <si>
    <t>AC-B.2.2.2</t>
  </si>
  <si>
    <t>Verificar que el expediente de siniestro contenga la declaración formal elaborada por el Asegurado, debidamente llena en los campos requeridos y que se encuentre firmada por el Asegurado.</t>
  </si>
  <si>
    <t>AC-B.2.2.3</t>
  </si>
  <si>
    <t>Verificar que los reclamos sean notificados en los tiempos establecidos en las condiciones de la póliza.</t>
  </si>
  <si>
    <t>AC-B.2.2.4</t>
  </si>
  <si>
    <t>Validar que la documentación presente el sello de recibido por parte de la sucursal.</t>
  </si>
  <si>
    <t>AC-B.2.2.5</t>
  </si>
  <si>
    <t>Validar que el expediente contenga toda la Documentación inicial requerida. (Fisico o digital).</t>
  </si>
  <si>
    <t>AC-B.2.2.6</t>
  </si>
  <si>
    <t>Gestiones siniestros pendientes &gt; 45 días.</t>
  </si>
  <si>
    <t>AC-B.2.2.7</t>
  </si>
  <si>
    <t>Verificar el respectivo seguimiento por parte de la sucursal.</t>
  </si>
  <si>
    <t>AC-B.2.2.8</t>
  </si>
  <si>
    <t>Verificar el adecuado registro en Sistema de las causas.</t>
  </si>
  <si>
    <t>AC-B.2.2.9</t>
  </si>
  <si>
    <t>Verificar que la cobertura afectada de la póliza sea la correcta así como el año póliza correspondiente.</t>
  </si>
  <si>
    <t>AC-B.2.2.10</t>
  </si>
  <si>
    <t>Validar que se realizó de forma adecuada y completa, el ajuste de daños, y cumple con el tipo de daño y piezas reclamadas.</t>
  </si>
  <si>
    <t>AC-B.2.2.11</t>
  </si>
  <si>
    <t>Valide que existan las fotos de rigor y adicionales del siniestro establecidas en la normativa (físicas o electrónicas) y que las mismas sean claras y suficientes.</t>
  </si>
  <si>
    <t>AC-B.2.2.12</t>
  </si>
  <si>
    <t>Validar que se haya realizado la notificación del siniestro a la Ofic. Ppal. a más tardar al día habil siguiente de recibido los soporte.</t>
  </si>
  <si>
    <t>AC-B.2.2.13</t>
  </si>
  <si>
    <t>Verificar que la constitución de reserva y el monto que se registren en Sistema estén acorde a los tiempos y parámetros establecidos en la Normativa.</t>
  </si>
  <si>
    <t>AC-B.2.2.14</t>
  </si>
  <si>
    <t>Verificar que los siniestros sean pagados o rechazados dentro de los lapsos establecidos en la normativa.</t>
  </si>
  <si>
    <t>Atributos AUTO Indemnización</t>
  </si>
  <si>
    <t>AC-B.1.3.1</t>
  </si>
  <si>
    <t>Verificar que el Expediente requerido bajo muestra sea debidamente recibido.</t>
  </si>
  <si>
    <t>AC-B.1.3.2</t>
  </si>
  <si>
    <t>Validar que la solicitud de seguros se presente completada en todas sus partes al momento de la emisión.(verificar con informacion cargada en Sistema AcselX).</t>
  </si>
  <si>
    <t>AC-B.1.3.3</t>
  </si>
  <si>
    <t>Verificar Documentación del asegurado y/o contratante. (Nucleo familiar si aplica).</t>
  </si>
  <si>
    <t>AC-B.1.3.4</t>
  </si>
  <si>
    <t>Existencia de Declaración de salud completa en todas sus partes, en caso de declarar una patología, emitir anexo de exclusión de cobertura (en caso que aplique).</t>
  </si>
  <si>
    <t>AC-B.1.3.5</t>
  </si>
  <si>
    <t xml:space="preserve">Validar las Coberturas aplicadas a la pólizas  corresponden a las solicitadas por el asegurado. </t>
  </si>
  <si>
    <t>AC-B.1.3.6</t>
  </si>
  <si>
    <t>Constatar que las personas aseguradas en la póliza son asegurables (riesgos permitidos) de acuerdo a las normas y políticas de suscripción de empresa (enfermedades declaradas, por resultados médicos o por historial de siniestralidad)</t>
  </si>
  <si>
    <t>AC-B.1.3.7</t>
  </si>
  <si>
    <t>Verificar que la emision está acorde a las políticas de la compañia (continuidad, plazos de espera, Hijo o hermanos &lt; a 25 años como y padres &lt; 69, examenes medicos según la edad).</t>
  </si>
  <si>
    <t>AC-B.1.3.8</t>
  </si>
  <si>
    <t>Validar la emisiòn de pòliza en el plazo correspondiente, de acuerdo a la fecha de solicitud. Plazo no mayor de 10 dias hàbiles de su recepciòn, acorde a GO Extraordinaria Nro. 6835 del 03/09/2024 y  Manual de Normas vigente.</t>
  </si>
  <si>
    <t>AC-B.1.3.9</t>
  </si>
  <si>
    <t xml:space="preserve">Verificar que la vigencia se corresponda a las póliticas establecidas por la compañia. </t>
  </si>
  <si>
    <t>AC-B.1.3.10</t>
  </si>
  <si>
    <t>Validar que los datos del asegurado y/o tomador de la póliza coinciden con registro en sistema (Nombre, apellido, C.I. telefono, correo, cuenta bancaria).</t>
  </si>
  <si>
    <t>AC-B.1.3.11</t>
  </si>
  <si>
    <t>Verificar que el cobro de la prima se haya realizado en un maximo de 30 días continuos.</t>
  </si>
  <si>
    <t>AR\LC PERSONAS 1.1</t>
  </si>
  <si>
    <t>AR\LC PERSONAS 1.2</t>
  </si>
  <si>
    <t>AR\LC PERSONAS 1.3</t>
  </si>
  <si>
    <t>AR\LC PERSONAS 1.4</t>
  </si>
  <si>
    <t>AR\LC PERSONAS 1.5</t>
  </si>
  <si>
    <t>AR\LC PERSONAS 1.6</t>
  </si>
  <si>
    <t>AR\LC PERSONAS 1.7</t>
  </si>
  <si>
    <t>AR\LC PERSONAS 1.8</t>
  </si>
  <si>
    <t>"Soporte de calificación de Riesgo efectuado por la UAR (Art 25, 26, 27)."</t>
  </si>
  <si>
    <t>Atributos Personas Indemnización</t>
  </si>
  <si>
    <t>Atributos Personas Suscripción</t>
  </si>
  <si>
    <t>AC-B.2.3.1</t>
  </si>
  <si>
    <t>Verificar que los expedientes solicitados sean recibidos de manera satisfactoria.</t>
  </si>
  <si>
    <t>AC-B.2.3.2</t>
  </si>
  <si>
    <t>AC-B.2.3.3</t>
  </si>
  <si>
    <t>AC-B.2.3.4</t>
  </si>
  <si>
    <t>AC-B.2.3.5</t>
  </si>
  <si>
    <t>Verifique que los expedientes de siniestros contengan toda la documentación requerida de acuerdo a la Normativa y al tipo de siniestro. (Físico, digital o electrónico).</t>
  </si>
  <si>
    <t>AC-B.2.3.6</t>
  </si>
  <si>
    <t>AC-B.2.3.7</t>
  </si>
  <si>
    <t>AC-B.2.3.8</t>
  </si>
  <si>
    <t>AC-B.2.3.9</t>
  </si>
  <si>
    <t>AC-B.2.3.10</t>
  </si>
  <si>
    <t>AC-B.2.3.11</t>
  </si>
  <si>
    <t>AC-B.2.3.12</t>
  </si>
  <si>
    <t>Atributos Patrimonial Indemnización</t>
  </si>
  <si>
    <t>AC-B.1.2.1</t>
  </si>
  <si>
    <t>AC-B.1.2.2</t>
  </si>
  <si>
    <t xml:space="preserve">Verificar que el Contrato cuente con la Solicitud de Seguros    </t>
  </si>
  <si>
    <t>AC-B.1.2.3</t>
  </si>
  <si>
    <t>Constatar la integridad, oportunidad y vigencia de la documentaciòn del Tomador, Asegurado y Beneficiario, con los soportes técnicos del riesgo (informes de inspección, avalúos y hojas de análisis de suscripción) que conforman el contrato Ramos Patrimoniales.</t>
  </si>
  <si>
    <t>AC-B.1.2.4</t>
  </si>
  <si>
    <t>Verificar que el cuadro de póliza y sus anexos cumplan con las condiciones de coberturas de riesgo (limite de responsabilidad, forma de valuación, deducible, etc.) Asi como los datos del bien (Nombre, dirección, etc).</t>
  </si>
  <si>
    <t>AC-B.1.2.5</t>
  </si>
  <si>
    <t>Verificar y Comprobar  la Tasa aplicada a la Prima Cobrada, acorde al rango de tasas segùn Polìticas internas.</t>
  </si>
  <si>
    <t>AC-B.1.2.6</t>
  </si>
  <si>
    <t>Validar que la fecha inicio de vigencia del Recibo o Factura de pòliza, concuerde con la fecha de recepción de Solicitud de Seguro o con la fecha de emisión de Notas de Cobertura Provisional (conforme al Art. 30 Normas Relación Contractual/Providencia SUDEASEG, Patrimoniales), para asegurar la oportuna detecciòn de los riesgos asociados.</t>
  </si>
  <si>
    <t>AC-B.1.2.7</t>
  </si>
  <si>
    <t>AC-B.1.2.8</t>
  </si>
  <si>
    <t>Verificar cumplimiento condiciones obligatorias de asegurabilidad del bien o interés patrimonial objeto de cobertura. (Acorde a pautas de suscripción de empresa y Providencia SUDEASEG Patrimoniales). Comprende: a) Titularidad o soporte del interés asegurable; b) Informe de inspección de riesgo previo o justificación de exención; c) Avalúo técnico o comprobante de valorización que fundamente la suma asegurada; d) Disposición de medidas de seguridad y protección exigidas por clase de riesgo; y e) Solicitud de seguro firmada con la declaración exacta de ubicación y uso.</t>
  </si>
  <si>
    <t>AC-B.1.2.9</t>
  </si>
  <si>
    <t>Verificar si se cumple con los Factores que determinan el Riesgos. Aplicable para: Incendio / Todo Riesgo Industrial</t>
  </si>
  <si>
    <t>AC-B.1.2.10</t>
  </si>
  <si>
    <t>Validar que las pólizas suscritas correspondan a riesgos asegurables de acuerdo a las políticas y normas establecidas.</t>
  </si>
  <si>
    <t>AC-B.1.2.11</t>
  </si>
  <si>
    <t>Verificar que los resultados de inspecciones de riesgos, sean reflejadas en anexo en el Sistema Acsel/X, con detalle de observaciones y/o recomendaciones segùn el caso.</t>
  </si>
  <si>
    <t>AC-B.1.2.12</t>
  </si>
  <si>
    <t>Validar que los datos del asegurado y/ o tomador de la póliza (Nombre, apellido, C.I. telefono, correo, cuenta bancaria).registradosen en el sistema Acsel/X, se correpondan con la solicitud de seguros.</t>
  </si>
  <si>
    <t>AC-B.1.2.13</t>
  </si>
  <si>
    <t>Verificar que los Equipos electrònicos amparados, reflejen las especificaciones de la solicitud de seguros. En cuanto a marca, modelo, serial, valor de reposicion.</t>
  </si>
  <si>
    <t>AR\LC PATRIM  1.1</t>
  </si>
  <si>
    <t>AR\LC PATRIM  1.2</t>
  </si>
  <si>
    <t>AR\LC PATRIM  1.3</t>
  </si>
  <si>
    <t>AR\LC PATRIM  1.4</t>
  </si>
  <si>
    <t>AR\LC PATRIM  1.5</t>
  </si>
  <si>
    <t>AR\LC PATRIM  1.6</t>
  </si>
  <si>
    <t>AR\LC PATRIM  1.7</t>
  </si>
  <si>
    <t>AR\LC PATRIM  1.8</t>
  </si>
  <si>
    <t>Atributos Suscripción Patrimonial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</si>
</sst>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1F1F1F"/>
      <name val="Arial"/>
      <family val="2"/>
    </font>
    <font>
      <sz val="11"/>
      <color rgb="FF1F1F1F"/>
      <name val="Google Sans Text"/>
      <family val="2"/>
    </font>
    <font>
      <b/>
      <sz val="8.5"/>
      <name val="Calibri"/>
      <family val="2"/>
      <scheme val="minor"/>
    </font>
    <font>
      <b/>
      <sz val="8.5"/>
      <color rgb="FFFF0000"/>
      <name val="Calibri"/>
      <family val="2"/>
      <scheme val="minor"/>
    </font>
    <font>
      <sz val="8.5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1F1F1F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8AADD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96F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rgb="FFC4C7C5"/>
      </right>
      <top style="medium">
        <color auto="1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auto="1"/>
      </top>
      <bottom style="medium">
        <color rgb="FFC4C7C5"/>
      </bottom>
      <diagonal/>
    </border>
    <border>
      <left style="medium">
        <color rgb="FFC4C7C5"/>
      </left>
      <right style="medium">
        <color auto="1"/>
      </right>
      <top style="medium">
        <color auto="1"/>
      </top>
      <bottom style="medium">
        <color rgb="FFC4C7C5"/>
      </bottom>
      <diagonal/>
    </border>
    <border>
      <left style="medium">
        <color auto="1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auto="1"/>
      </right>
      <top style="medium">
        <color rgb="FFC4C7C5"/>
      </top>
      <bottom style="medium">
        <color rgb="FFC4C7C5"/>
      </bottom>
      <diagonal/>
    </border>
    <border>
      <left style="medium">
        <color auto="1"/>
      </left>
      <right style="medium">
        <color rgb="FFC4C7C5"/>
      </right>
      <top style="medium">
        <color rgb="FFC4C7C5"/>
      </top>
      <bottom style="medium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auto="1"/>
      </bottom>
      <diagonal/>
    </border>
    <border>
      <left style="medium">
        <color rgb="FFC4C7C5"/>
      </left>
      <right style="medium">
        <color auto="1"/>
      </right>
      <top style="medium">
        <color rgb="FFC4C7C5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4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1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8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>
      <alignment horizontal="center" vertical="center" wrapText="1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right" vertical="center" wrapText="1" readingOrder="1"/>
    </xf>
    <xf numFmtId="0" fontId="0" fillId="0" borderId="5" xfId="0" applyFont="1" applyBorder="1" applyAlignment="1">
      <alignment horizontal="center" vertical="center" wrapText="1" readingOrder="1"/>
    </xf>
    <xf numFmtId="0" fontId="0" fillId="4" borderId="6" xfId="0" applyFont="1" applyFill="1" applyBorder="1" applyAlignment="1" applyProtection="1">
      <alignment horizontal="center" vertical="center" wrapText="1"/>
      <protection locked="0"/>
    </xf>
    <xf numFmtId="0" fontId="0" fillId="0" borderId="6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0" fillId="0" borderId="21" xfId="0" applyFont="1" applyBorder="1" applyAlignment="1">
      <alignment horizontal="center" vertical="center" wrapText="1" readingOrder="1"/>
    </xf>
    <xf numFmtId="0" fontId="0" fillId="0" borderId="6" xfId="0" applyFont="1" applyBorder="1" applyAlignment="1">
      <alignment horizontal="center" vertical="center" wrapText="1" readingOrder="1"/>
    </xf>
    <xf numFmtId="0" fontId="6" fillId="0" borderId="17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right" vertical="center" wrapText="1" readingOrder="1"/>
    </xf>
    <xf numFmtId="0" fontId="0" fillId="0" borderId="12" xfId="0" applyFont="1" applyBorder="1" applyAlignment="1">
      <alignment horizontal="center" vertical="center" wrapText="1" readingOrder="1"/>
    </xf>
    <xf numFmtId="0" fontId="0" fillId="4" borderId="23" xfId="0" applyFont="1" applyFill="1" applyBorder="1" applyAlignment="1" applyProtection="1">
      <alignment horizontal="center" vertical="center" wrapText="1"/>
      <protection locked="0"/>
    </xf>
    <xf numFmtId="0" fontId="0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right" vertical="center" wrapText="1" indent="1" readingOrder="1"/>
    </xf>
    <xf numFmtId="0" fontId="7" fillId="0" borderId="25" xfId="0" applyFont="1" applyBorder="1" applyAlignment="1">
      <alignment horizontal="left" vertical="center" wrapText="1" indent="1" readingOrder="1"/>
    </xf>
    <xf numFmtId="0" fontId="7" fillId="0" borderId="25" xfId="0" applyFont="1" applyBorder="1" applyAlignment="1">
      <alignment horizontal="right" vertical="center" wrapText="1" indent="1" readingOrder="1"/>
    </xf>
    <xf numFmtId="0" fontId="7" fillId="0" borderId="25" xfId="0" applyFont="1" applyBorder="1" applyAlignment="1">
      <alignment horizontal="center" vertical="center" wrapText="1" readingOrder="1"/>
    </xf>
    <xf numFmtId="0" fontId="7" fillId="0" borderId="26" xfId="0" applyFont="1" applyBorder="1" applyAlignment="1">
      <alignment horizontal="right" vertical="center" wrapText="1" indent="1" readingOrder="1"/>
    </xf>
    <xf numFmtId="0" fontId="7" fillId="0" borderId="27" xfId="0" applyFont="1" applyBorder="1" applyAlignment="1">
      <alignment horizontal="right" vertical="center" wrapText="1" indent="1" readingOrder="1"/>
    </xf>
    <xf numFmtId="0" fontId="7" fillId="0" borderId="28" xfId="0" applyFont="1" applyBorder="1" applyAlignment="1">
      <alignment horizontal="left" vertical="center" wrapText="1" indent="1" readingOrder="1"/>
    </xf>
    <xf numFmtId="9" fontId="8" fillId="0" borderId="28" xfId="0" applyNumberFormat="1" applyFont="1" applyBorder="1" applyAlignment="1">
      <alignment horizontal="right" vertical="center" wrapText="1" indent="1" readingOrder="1"/>
    </xf>
    <xf numFmtId="9" fontId="8" fillId="0" borderId="28" xfId="1" applyFont="1" applyBorder="1" applyAlignment="1">
      <alignment horizontal="right" vertical="center" wrapText="1" indent="1" readingOrder="1"/>
    </xf>
    <xf numFmtId="9" fontId="8" fillId="0" borderId="29" xfId="1" applyFont="1" applyBorder="1" applyAlignment="1">
      <alignment horizontal="right" vertical="center" wrapText="1" indent="1" readingOrder="1"/>
    </xf>
    <xf numFmtId="0" fontId="7" fillId="0" borderId="30" xfId="0" applyFont="1" applyBorder="1" applyAlignment="1">
      <alignment horizontal="right" vertical="center" wrapText="1" indent="1" readingOrder="1"/>
    </xf>
    <xf numFmtId="0" fontId="7" fillId="0" borderId="31" xfId="0" applyFont="1" applyBorder="1" applyAlignment="1">
      <alignment horizontal="left" vertical="center" wrapText="1" indent="1" readingOrder="1"/>
    </xf>
    <xf numFmtId="9" fontId="8" fillId="0" borderId="31" xfId="0" applyNumberFormat="1" applyFont="1" applyBorder="1" applyAlignment="1">
      <alignment horizontal="right" vertical="center" wrapText="1" indent="1" readingOrder="1"/>
    </xf>
    <xf numFmtId="9" fontId="8" fillId="0" borderId="31" xfId="1" applyFont="1" applyBorder="1" applyAlignment="1">
      <alignment horizontal="right" vertical="center" wrapText="1" indent="1" readingOrder="1"/>
    </xf>
    <xf numFmtId="9" fontId="8" fillId="0" borderId="32" xfId="1" applyFont="1" applyBorder="1" applyAlignment="1">
      <alignment horizontal="right" vertical="center" wrapText="1" indent="1" readingOrder="1"/>
    </xf>
    <xf numFmtId="0" fontId="0" fillId="0" borderId="0" xfId="0" applyBorder="1" applyAlignment="1"/>
    <xf numFmtId="0" fontId="9" fillId="2" borderId="5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9" fillId="2" borderId="19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/>
    </xf>
    <xf numFmtId="0" fontId="11" fillId="5" borderId="5" xfId="0" quotePrefix="1" applyFont="1" applyFill="1" applyBorder="1" applyAlignment="1">
      <alignment vertical="justify" wrapText="1"/>
    </xf>
    <xf numFmtId="0" fontId="11" fillId="5" borderId="5" xfId="0" quotePrefix="1" applyFont="1" applyFill="1" applyBorder="1" applyAlignment="1">
      <alignment vertical="center" wrapText="1"/>
    </xf>
    <xf numFmtId="0" fontId="11" fillId="5" borderId="6" xfId="0" quotePrefix="1" applyFont="1" applyFill="1" applyBorder="1" applyAlignment="1">
      <alignment vertical="center" wrapText="1"/>
    </xf>
    <xf numFmtId="0" fontId="11" fillId="5" borderId="33" xfId="0" quotePrefix="1" applyFont="1" applyFill="1" applyBorder="1" applyAlignment="1">
      <alignment vertical="center" wrapText="1"/>
    </xf>
    <xf numFmtId="0" fontId="11" fillId="5" borderId="34" xfId="0" quotePrefix="1" applyFont="1" applyFill="1" applyBorder="1" applyAlignment="1">
      <alignment vertical="center" wrapText="1"/>
    </xf>
    <xf numFmtId="0" fontId="11" fillId="5" borderId="35" xfId="0" quotePrefix="1" applyFont="1" applyFill="1" applyBorder="1" applyAlignment="1">
      <alignment vertical="center" wrapText="1"/>
    </xf>
    <xf numFmtId="0" fontId="10" fillId="5" borderId="22" xfId="0" applyFont="1" applyFill="1" applyBorder="1" applyAlignment="1">
      <alignment horizontal="center" vertical="center"/>
    </xf>
    <xf numFmtId="0" fontId="11" fillId="5" borderId="12" xfId="0" quotePrefix="1" applyFont="1" applyFill="1" applyBorder="1" applyAlignment="1">
      <alignment vertical="justify" wrapText="1"/>
    </xf>
    <xf numFmtId="0" fontId="11" fillId="5" borderId="36" xfId="0" quotePrefix="1" applyFont="1" applyFill="1" applyBorder="1" applyAlignment="1">
      <alignment vertical="center" wrapText="1"/>
    </xf>
    <xf numFmtId="0" fontId="11" fillId="5" borderId="37" xfId="0" quotePrefix="1" applyFont="1" applyFill="1" applyBorder="1" applyAlignment="1">
      <alignment vertical="center" wrapText="1"/>
    </xf>
    <xf numFmtId="0" fontId="11" fillId="5" borderId="38" xfId="0" quotePrefix="1" applyFont="1" applyFill="1" applyBorder="1" applyAlignment="1">
      <alignment vertical="center" wrapText="1"/>
    </xf>
    <xf numFmtId="0" fontId="12" fillId="5" borderId="0" xfId="0" applyFont="1" applyFill="1" applyBorder="1" applyAlignment="1">
      <alignment horizontal="left" vertical="center"/>
    </xf>
    <xf numFmtId="0" fontId="13" fillId="0" borderId="0" xfId="0" applyFont="1"/>
    <xf numFmtId="0" fontId="7" fillId="0" borderId="39" xfId="0" applyFont="1" applyBorder="1" applyAlignment="1">
      <alignment horizontal="left" vertical="center" wrapText="1" indent="1" readingOrder="1"/>
    </xf>
    <xf numFmtId="0" fontId="7" fillId="0" borderId="40" xfId="0" applyFont="1" applyBorder="1" applyAlignment="1">
      <alignment horizontal="center" vertical="center" wrapText="1" readingOrder="1"/>
    </xf>
    <xf numFmtId="0" fontId="7" fillId="0" borderId="41" xfId="0" applyFont="1" applyBorder="1" applyAlignment="1">
      <alignment horizontal="center" vertical="center" wrapText="1" readingOrder="1"/>
    </xf>
    <xf numFmtId="0" fontId="7" fillId="0" borderId="42" xfId="0" applyFont="1" applyBorder="1" applyAlignment="1">
      <alignment horizontal="center" vertical="center" wrapText="1" readingOrder="1"/>
    </xf>
    <xf numFmtId="0" fontId="13" fillId="0" borderId="43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 readingOrder="1"/>
    </xf>
    <xf numFmtId="0" fontId="7" fillId="0" borderId="45" xfId="0" applyFont="1" applyBorder="1" applyAlignment="1">
      <alignment horizontal="center" vertical="center" wrapText="1" readingOrder="1"/>
    </xf>
    <xf numFmtId="0" fontId="7" fillId="0" borderId="46" xfId="0" applyFont="1" applyBorder="1" applyAlignment="1">
      <alignment horizontal="center" vertical="center" wrapText="1" readingOrder="1"/>
    </xf>
    <xf numFmtId="0" fontId="0" fillId="0" borderId="47" xfId="0" applyBorder="1"/>
    <xf numFmtId="0" fontId="7" fillId="0" borderId="44" xfId="0" applyFont="1" applyBorder="1" applyAlignment="1">
      <alignment horizontal="left" vertical="center" wrapText="1" indent="1" readingOrder="1"/>
    </xf>
    <xf numFmtId="0" fontId="14" fillId="0" borderId="48" xfId="0" applyFont="1" applyBorder="1" applyAlignment="1">
      <alignment horizontal="left" vertical="center" wrapText="1" readingOrder="1"/>
    </xf>
    <xf numFmtId="0" fontId="14" fillId="0" borderId="49" xfId="0" applyFont="1" applyBorder="1" applyAlignment="1">
      <alignment horizontal="left" vertical="center" wrapText="1" readingOrder="1"/>
    </xf>
    <xf numFmtId="0" fontId="14" fillId="0" borderId="50" xfId="0" applyFont="1" applyBorder="1" applyAlignment="1">
      <alignment horizontal="left" vertical="center" wrapText="1" readingOrder="1"/>
    </xf>
    <xf numFmtId="0" fontId="13" fillId="4" borderId="46" xfId="0" applyFont="1" applyFill="1" applyBorder="1" applyAlignment="1" applyProtection="1">
      <alignment horizontal="center" vertical="center" wrapText="1"/>
      <protection locked="0"/>
    </xf>
    <xf numFmtId="0" fontId="13" fillId="0" borderId="46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left" vertical="center" wrapText="1" indent="1" readingOrder="1"/>
    </xf>
    <xf numFmtId="0" fontId="14" fillId="0" borderId="52" xfId="0" applyFont="1" applyBorder="1" applyAlignment="1">
      <alignment horizontal="left" vertical="center" wrapText="1" readingOrder="1"/>
    </xf>
    <xf numFmtId="0" fontId="14" fillId="0" borderId="53" xfId="0" applyFont="1" applyBorder="1" applyAlignment="1">
      <alignment horizontal="left" vertical="center" wrapText="1" readingOrder="1"/>
    </xf>
    <xf numFmtId="0" fontId="14" fillId="0" borderId="54" xfId="0" applyFont="1" applyBorder="1" applyAlignment="1">
      <alignment horizontal="left" vertical="center" wrapText="1" readingOrder="1"/>
    </xf>
    <xf numFmtId="0" fontId="13" fillId="4" borderId="55" xfId="0" applyFont="1" applyFill="1" applyBorder="1" applyAlignment="1" applyProtection="1">
      <alignment horizontal="center" vertical="center" wrapText="1"/>
      <protection locked="0"/>
    </xf>
    <xf numFmtId="0" fontId="13" fillId="0" borderId="55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right" vertical="center" wrapText="1" indent="1" readingOrder="1"/>
    </xf>
    <xf numFmtId="0" fontId="7" fillId="0" borderId="2" xfId="0" applyFont="1" applyBorder="1" applyAlignment="1">
      <alignment horizontal="right" vertical="center" wrapText="1" indent="1" readingOrder="1"/>
    </xf>
    <xf numFmtId="0" fontId="7" fillId="0" borderId="2" xfId="0" applyFont="1" applyBorder="1" applyAlignment="1">
      <alignment horizontal="center" vertical="center" wrapText="1" readingOrder="1"/>
    </xf>
    <xf numFmtId="0" fontId="7" fillId="0" borderId="20" xfId="0" applyFont="1" applyBorder="1" applyAlignment="1">
      <alignment horizontal="right" vertical="center" wrapText="1" indent="1" readingOrder="1"/>
    </xf>
    <xf numFmtId="0" fontId="7" fillId="0" borderId="21" xfId="0" applyFont="1" applyBorder="1" applyAlignment="1">
      <alignment horizontal="right" vertical="center" wrapText="1" indent="1" readingOrder="1"/>
    </xf>
    <xf numFmtId="0" fontId="7" fillId="0" borderId="5" xfId="0" applyFont="1" applyBorder="1" applyAlignment="1">
      <alignment horizontal="right" vertical="center" wrapText="1" indent="1" readingOrder="1"/>
    </xf>
    <xf numFmtId="9" fontId="8" fillId="0" borderId="5" xfId="0" applyNumberFormat="1" applyFont="1" applyBorder="1" applyAlignment="1">
      <alignment horizontal="center" vertical="center" wrapText="1" readingOrder="1"/>
    </xf>
    <xf numFmtId="9" fontId="8" fillId="0" borderId="5" xfId="1" applyFont="1" applyBorder="1" applyAlignment="1">
      <alignment horizontal="center" vertical="center" wrapText="1" readingOrder="1"/>
    </xf>
    <xf numFmtId="9" fontId="8" fillId="0" borderId="6" xfId="1" applyFont="1" applyBorder="1" applyAlignment="1">
      <alignment horizontal="right" vertical="center" wrapText="1" indent="1" readingOrder="1"/>
    </xf>
    <xf numFmtId="0" fontId="7" fillId="0" borderId="22" xfId="0" applyFont="1" applyBorder="1" applyAlignment="1">
      <alignment horizontal="right" vertical="center" wrapText="1" indent="1" readingOrder="1"/>
    </xf>
    <xf numFmtId="0" fontId="7" fillId="0" borderId="12" xfId="0" applyFont="1" applyBorder="1" applyAlignment="1">
      <alignment horizontal="right" vertical="center" wrapText="1" indent="1" readingOrder="1"/>
    </xf>
    <xf numFmtId="9" fontId="8" fillId="0" borderId="12" xfId="0" applyNumberFormat="1" applyFont="1" applyBorder="1" applyAlignment="1">
      <alignment horizontal="center" vertical="center" wrapText="1" readingOrder="1"/>
    </xf>
    <xf numFmtId="9" fontId="8" fillId="0" borderId="12" xfId="1" applyFont="1" applyBorder="1" applyAlignment="1">
      <alignment horizontal="center" vertical="center" wrapText="1" readingOrder="1"/>
    </xf>
    <xf numFmtId="9" fontId="8" fillId="0" borderId="23" xfId="1" applyFont="1" applyBorder="1" applyAlignment="1">
      <alignment horizontal="right" vertical="center" wrapText="1" indent="1" readingOrder="1"/>
    </xf>
    <xf numFmtId="0" fontId="0" fillId="0" borderId="0" xfId="0" applyBorder="1" applyAlignment="1">
      <alignment horizontal="center" vertical="center"/>
    </xf>
    <xf numFmtId="0" fontId="11" fillId="5" borderId="5" xfId="0" quotePrefix="1" applyFont="1" applyFill="1" applyBorder="1" applyAlignment="1">
      <alignment horizontal="left" vertical="center" wrapText="1"/>
    </xf>
    <xf numFmtId="0" fontId="11" fillId="5" borderId="6" xfId="0" quotePrefix="1" applyFont="1" applyFill="1" applyBorder="1" applyAlignment="1">
      <alignment horizontal="left" vertical="center" wrapText="1"/>
    </xf>
    <xf numFmtId="0" fontId="11" fillId="5" borderId="5" xfId="0" quotePrefix="1" applyFont="1" applyFill="1" applyBorder="1" applyAlignment="1">
      <alignment horizontal="left" vertical="center"/>
    </xf>
    <xf numFmtId="0" fontId="11" fillId="5" borderId="6" xfId="0" quotePrefix="1" applyFont="1" applyFill="1" applyBorder="1" applyAlignment="1">
      <alignment horizontal="left" vertical="center"/>
    </xf>
    <xf numFmtId="0" fontId="11" fillId="5" borderId="12" xfId="0" quotePrefix="1" applyFont="1" applyFill="1" applyBorder="1" applyAlignment="1">
      <alignment horizontal="left" vertical="center"/>
    </xf>
    <xf numFmtId="0" fontId="11" fillId="5" borderId="23" xfId="0" quotePrefix="1" applyFont="1" applyFill="1" applyBorder="1" applyAlignment="1">
      <alignment horizontal="left" vertical="center"/>
    </xf>
    <xf numFmtId="0" fontId="2" fillId="3" borderId="5" xfId="0" applyFont="1" applyFill="1" applyBorder="1" applyAlignment="1" applyProtection="1">
      <alignment horizontal="center" vertical="center"/>
      <protection hidden="1"/>
    </xf>
    <xf numFmtId="0" fontId="0" fillId="0" borderId="0" xfId="0" applyFont="1" applyAlignment="1">
      <alignment wrapText="1"/>
    </xf>
    <xf numFmtId="0" fontId="0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 applyProtection="1">
      <alignment horizontal="center" vertical="center"/>
      <protection hidden="1"/>
    </xf>
    <xf numFmtId="0" fontId="2" fillId="2" borderId="57" xfId="0" applyFont="1" applyFill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1" fillId="6" borderId="56" xfId="0" applyFont="1" applyFill="1" applyBorder="1" applyAlignment="1" applyProtection="1">
      <alignment horizontal="center" vertical="center" wrapText="1"/>
      <protection hidden="1"/>
    </xf>
    <xf numFmtId="0" fontId="2" fillId="2" borderId="58" xfId="0" applyFont="1" applyFill="1" applyBorder="1" applyAlignment="1" applyProtection="1">
      <alignment horizontal="center" vertical="center"/>
      <protection hidden="1"/>
    </xf>
    <xf numFmtId="0" fontId="2" fillId="2" borderId="59" xfId="0" applyFont="1" applyFill="1" applyBorder="1" applyAlignment="1" applyProtection="1">
      <alignment horizontal="center" vertical="center"/>
      <protection hidden="1"/>
    </xf>
    <xf numFmtId="0" fontId="2" fillId="2" borderId="60" xfId="0" applyFont="1" applyFill="1" applyBorder="1" applyAlignment="1" applyProtection="1">
      <alignment horizontal="center" vertical="center"/>
      <protection hidden="1"/>
    </xf>
    <xf numFmtId="0" fontId="16" fillId="3" borderId="5" xfId="0" applyFont="1" applyFill="1" applyBorder="1" applyAlignment="1" applyProtection="1">
      <alignment horizontal="center" vertical="center"/>
      <protection hidden="1"/>
    </xf>
    <xf numFmtId="0" fontId="1" fillId="6" borderId="33" xfId="0" applyFont="1" applyFill="1" applyBorder="1" applyAlignment="1" applyProtection="1">
      <alignment horizontal="center" vertical="center" wrapText="1"/>
      <protection hidden="1"/>
    </xf>
    <xf numFmtId="40" fontId="15" fillId="0" borderId="3" xfId="0" applyNumberFormat="1" applyFont="1" applyFill="1" applyBorder="1" applyAlignment="1">
      <alignment horizontal="left" vertical="center" wrapText="1"/>
    </xf>
    <xf numFmtId="0" fontId="15" fillId="0" borderId="3" xfId="0" applyFont="1" applyFill="1" applyBorder="1" applyAlignment="1">
      <alignment horizontal="left" vertical="center" wrapText="1"/>
    </xf>
    <xf numFmtId="0" fontId="15" fillId="0" borderId="5" xfId="0" applyFont="1" applyFill="1" applyBorder="1" applyAlignment="1">
      <alignment horizontal="left" vertical="center" wrapText="1"/>
    </xf>
    <xf numFmtId="0" fontId="15" fillId="0" borderId="9" xfId="0" applyFont="1" applyFill="1" applyBorder="1" applyAlignment="1">
      <alignment horizontal="left" vertical="center" wrapText="1"/>
    </xf>
    <xf numFmtId="0" fontId="15" fillId="0" borderId="5" xfId="0" applyFont="1" applyFill="1" applyBorder="1" applyAlignment="1" applyProtection="1">
      <alignment horizontal="left" vertical="center" wrapText="1"/>
      <protection hidden="1"/>
    </xf>
    <xf numFmtId="0" fontId="15" fillId="0" borderId="33" xfId="0" applyFont="1" applyFill="1" applyBorder="1" applyAlignment="1" applyProtection="1">
      <alignment horizontal="left" vertical="center" wrapText="1"/>
      <protection hidden="1"/>
    </xf>
    <xf numFmtId="0" fontId="2" fillId="0" borderId="5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Porcentaje 2" xfId="1"/>
  </cellStyles>
  <dxfs count="19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AC-B.3.5 Administraci&#243;n'!A1"/><Relationship Id="rId2" Type="http://schemas.openxmlformats.org/officeDocument/2006/relationships/hyperlink" Target="#'AC-B.3.5 Cartelera Fiscal'!A1"/><Relationship Id="rId1" Type="http://schemas.openxmlformats.org/officeDocument/2006/relationships/image" Target="../media/image1.png"/><Relationship Id="rId6" Type="http://schemas.openxmlformats.org/officeDocument/2006/relationships/hyperlink" Target="#'Servicios Sucursal'!A1"/><Relationship Id="rId5" Type="http://schemas.openxmlformats.org/officeDocument/2006/relationships/hyperlink" Target="#LOPCYMAT!A1"/><Relationship Id="rId4" Type="http://schemas.openxmlformats.org/officeDocument/2006/relationships/hyperlink" Target="#'AC-B.3.13 Pagos ADS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AC-B.3.5 Administraci&#243;n'!A1"/><Relationship Id="rId2" Type="http://schemas.openxmlformats.org/officeDocument/2006/relationships/hyperlink" Target="#'AC-B.3.5 Cartelera Fiscal'!A1"/><Relationship Id="rId1" Type="http://schemas.openxmlformats.org/officeDocument/2006/relationships/image" Target="../media/image1.png"/><Relationship Id="rId6" Type="http://schemas.openxmlformats.org/officeDocument/2006/relationships/hyperlink" Target="#'Servicios Sucursal'!A1"/><Relationship Id="rId5" Type="http://schemas.openxmlformats.org/officeDocument/2006/relationships/hyperlink" Target="#LOPCYMAT!A1"/><Relationship Id="rId4" Type="http://schemas.openxmlformats.org/officeDocument/2006/relationships/hyperlink" Target="#'AC-B.3.13 Pagos AD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0</xdr:row>
      <xdr:rowOff>123824</xdr:rowOff>
    </xdr:from>
    <xdr:to>
      <xdr:col>4</xdr:col>
      <xdr:colOff>352425</xdr:colOff>
      <xdr:row>3</xdr:row>
      <xdr:rowOff>95249</xdr:rowOff>
    </xdr:to>
    <xdr:pic>
      <xdr:nvPicPr>
        <xdr:cNvPr id="2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7250" y="123824"/>
          <a:ext cx="1057275" cy="51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30</xdr:row>
      <xdr:rowOff>20860</xdr:rowOff>
    </xdr:to>
    <xdr:sp macro="" textlink="">
      <xdr:nvSpPr>
        <xdr:cNvPr id="3" name="Rectángulo 2"/>
        <xdr:cNvSpPr/>
      </xdr:nvSpPr>
      <xdr:spPr>
        <a:xfrm>
          <a:off x="0" y="0"/>
          <a:ext cx="1892300" cy="1071426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1</xdr:col>
      <xdr:colOff>860490</xdr:colOff>
      <xdr:row>0</xdr:row>
      <xdr:rowOff>0</xdr:rowOff>
    </xdr:from>
    <xdr:to>
      <xdr:col>2</xdr:col>
      <xdr:colOff>7490</xdr:colOff>
      <xdr:row>30</xdr:row>
      <xdr:rowOff>19050</xdr:rowOff>
    </xdr:to>
    <xdr:sp macro="" textlink="">
      <xdr:nvSpPr>
        <xdr:cNvPr id="4" name="Rectángulo 3"/>
        <xdr:cNvSpPr/>
      </xdr:nvSpPr>
      <xdr:spPr>
        <a:xfrm>
          <a:off x="1863790" y="0"/>
          <a:ext cx="36000" cy="10712450"/>
        </a:xfrm>
        <a:prstGeom prst="rect">
          <a:avLst/>
        </a:prstGeom>
        <a:solidFill>
          <a:srgbClr val="92D05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0</xdr:col>
      <xdr:colOff>0</xdr:colOff>
      <xdr:row>0</xdr:row>
      <xdr:rowOff>6350</xdr:rowOff>
    </xdr:from>
    <xdr:to>
      <xdr:col>0</xdr:col>
      <xdr:colOff>36000</xdr:colOff>
      <xdr:row>30</xdr:row>
      <xdr:rowOff>25400</xdr:rowOff>
    </xdr:to>
    <xdr:sp macro="" textlink="">
      <xdr:nvSpPr>
        <xdr:cNvPr id="5" name="Rectángulo 4"/>
        <xdr:cNvSpPr/>
      </xdr:nvSpPr>
      <xdr:spPr>
        <a:xfrm>
          <a:off x="0" y="6350"/>
          <a:ext cx="36000" cy="10712450"/>
        </a:xfrm>
        <a:prstGeom prst="rect">
          <a:avLst/>
        </a:prstGeom>
        <a:solidFill>
          <a:srgbClr val="92D05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0</xdr:col>
      <xdr:colOff>57216</xdr:colOff>
      <xdr:row>4</xdr:row>
      <xdr:rowOff>88900</xdr:rowOff>
    </xdr:from>
    <xdr:to>
      <xdr:col>1</xdr:col>
      <xdr:colOff>853916</xdr:colOff>
      <xdr:row>7</xdr:row>
      <xdr:rowOff>70100</xdr:rowOff>
    </xdr:to>
    <xdr:grpSp>
      <xdr:nvGrpSpPr>
        <xdr:cNvPr id="6" name="Grupo 5">
          <a:hlinkClick xmlns:r="http://schemas.openxmlformats.org/officeDocument/2006/relationships" r:id="rId2"/>
        </xdr:cNvPr>
        <xdr:cNvGrpSpPr/>
      </xdr:nvGrpSpPr>
      <xdr:grpSpPr>
        <a:xfrm>
          <a:off x="57216" y="819150"/>
          <a:ext cx="1800000" cy="540000"/>
          <a:chOff x="41346" y="182563"/>
          <a:chExt cx="1447664" cy="365125"/>
        </a:xfrm>
        <a:solidFill>
          <a:schemeClr val="accent4">
            <a:lumMod val="60000"/>
            <a:lumOff val="40000"/>
          </a:schemeClr>
        </a:solidFill>
      </xdr:grpSpPr>
      <xdr:sp macro="[1]!Calificacion" textlink="">
        <xdr:nvSpPr>
          <xdr:cNvPr id="7" name="Datos almacenados 6"/>
          <xdr:cNvSpPr/>
        </xdr:nvSpPr>
        <xdr:spPr>
          <a:xfrm>
            <a:off x="41346" y="182563"/>
            <a:ext cx="1282700" cy="365125"/>
          </a:xfrm>
          <a:prstGeom prst="flowChartOnlineStorage">
            <a:avLst/>
          </a:prstGeom>
          <a:solidFill>
            <a:srgbClr val="54585A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VE" sz="1000" b="1">
                <a:solidFill>
                  <a:schemeClr val="bg1"/>
                </a:solidFill>
              </a:rPr>
              <a:t>Cartelera Fiscal</a:t>
            </a:r>
          </a:p>
        </xdr:txBody>
      </xdr:sp>
      <xdr:sp macro="[1]!Calificacion" textlink="">
        <xdr:nvSpPr>
          <xdr:cNvPr id="8" name="Pantalla 7"/>
          <xdr:cNvSpPr/>
        </xdr:nvSpPr>
        <xdr:spPr>
          <a:xfrm>
            <a:off x="1082610" y="182563"/>
            <a:ext cx="406400" cy="365125"/>
          </a:xfrm>
          <a:prstGeom prst="flowChartDisplay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VE" sz="10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38166</xdr:colOff>
      <xdr:row>0</xdr:row>
      <xdr:rowOff>175813</xdr:rowOff>
    </xdr:from>
    <xdr:to>
      <xdr:col>1</xdr:col>
      <xdr:colOff>834866</xdr:colOff>
      <xdr:row>3</xdr:row>
      <xdr:rowOff>176063</xdr:rowOff>
    </xdr:to>
    <xdr:grpSp>
      <xdr:nvGrpSpPr>
        <xdr:cNvPr id="9" name="Grupo 8">
          <a:hlinkClick xmlns:r="http://schemas.openxmlformats.org/officeDocument/2006/relationships" r:id="rId3"/>
        </xdr:cNvPr>
        <xdr:cNvGrpSpPr/>
      </xdr:nvGrpSpPr>
      <xdr:grpSpPr>
        <a:xfrm>
          <a:off x="38166" y="175813"/>
          <a:ext cx="1800000" cy="540000"/>
          <a:chOff x="33408" y="747313"/>
          <a:chExt cx="1447664" cy="365125"/>
        </a:xfrm>
      </xdr:grpSpPr>
      <xdr:sp macro="[1]!Administracion" textlink="">
        <xdr:nvSpPr>
          <xdr:cNvPr id="10" name="Datos almacenados 9"/>
          <xdr:cNvSpPr/>
        </xdr:nvSpPr>
        <xdr:spPr>
          <a:xfrm>
            <a:off x="33408" y="747313"/>
            <a:ext cx="1282700" cy="365125"/>
          </a:xfrm>
          <a:prstGeom prst="flowChartOnlineStorage">
            <a:avLst/>
          </a:prstGeom>
          <a:solidFill>
            <a:srgbClr val="54585A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VE" sz="1050" b="1">
                <a:solidFill>
                  <a:schemeClr val="bg1"/>
                </a:solidFill>
              </a:rPr>
              <a:t>Administración</a:t>
            </a:r>
          </a:p>
        </xdr:txBody>
      </xdr:sp>
      <xdr:sp macro="" textlink="">
        <xdr:nvSpPr>
          <xdr:cNvPr id="11" name="Pantalla 10"/>
          <xdr:cNvSpPr/>
        </xdr:nvSpPr>
        <xdr:spPr>
          <a:xfrm>
            <a:off x="1074672" y="747313"/>
            <a:ext cx="406400" cy="365125"/>
          </a:xfrm>
          <a:prstGeom prst="flowChartDisplay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s-VE" sz="10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50866</xdr:colOff>
      <xdr:row>8</xdr:row>
      <xdr:rowOff>0</xdr:rowOff>
    </xdr:from>
    <xdr:to>
      <xdr:col>1</xdr:col>
      <xdr:colOff>847566</xdr:colOff>
      <xdr:row>9</xdr:row>
      <xdr:rowOff>120900</xdr:rowOff>
    </xdr:to>
    <xdr:grpSp>
      <xdr:nvGrpSpPr>
        <xdr:cNvPr id="12" name="Grupo 11">
          <a:hlinkClick xmlns:r="http://schemas.openxmlformats.org/officeDocument/2006/relationships" r:id="rId4"/>
        </xdr:cNvPr>
        <xdr:cNvGrpSpPr/>
      </xdr:nvGrpSpPr>
      <xdr:grpSpPr>
        <a:xfrm>
          <a:off x="50866" y="1473200"/>
          <a:ext cx="1800000" cy="540000"/>
          <a:chOff x="66738" y="1288649"/>
          <a:chExt cx="1447664" cy="365125"/>
        </a:xfrm>
      </xdr:grpSpPr>
      <xdr:sp macro="" textlink="">
        <xdr:nvSpPr>
          <xdr:cNvPr id="13" name="Datos almacenados 12"/>
          <xdr:cNvSpPr/>
        </xdr:nvSpPr>
        <xdr:spPr>
          <a:xfrm>
            <a:off x="66738" y="1288649"/>
            <a:ext cx="1282700" cy="365125"/>
          </a:xfrm>
          <a:prstGeom prst="flowChartOnlineStorage">
            <a:avLst/>
          </a:prstGeom>
          <a:solidFill>
            <a:srgbClr val="54585A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VE" sz="1000" b="1">
                <a:solidFill>
                  <a:schemeClr val="bg1"/>
                </a:solidFill>
              </a:rPr>
              <a:t>Pagos ADS</a:t>
            </a:r>
          </a:p>
        </xdr:txBody>
      </xdr:sp>
      <xdr:sp macro="" textlink="">
        <xdr:nvSpPr>
          <xdr:cNvPr id="14" name="Pantalla 13"/>
          <xdr:cNvSpPr/>
        </xdr:nvSpPr>
        <xdr:spPr>
          <a:xfrm>
            <a:off x="1108002" y="1288649"/>
            <a:ext cx="406400" cy="365125"/>
          </a:xfrm>
          <a:prstGeom prst="flowChartDisplay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s-VE" sz="10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50866</xdr:colOff>
      <xdr:row>9</xdr:row>
      <xdr:rowOff>221849</xdr:rowOff>
    </xdr:from>
    <xdr:to>
      <xdr:col>3</xdr:col>
      <xdr:colOff>25400</xdr:colOff>
      <xdr:row>10</xdr:row>
      <xdr:rowOff>342749</xdr:rowOff>
    </xdr:to>
    <xdr:grpSp>
      <xdr:nvGrpSpPr>
        <xdr:cNvPr id="15" name="Grupo 14">
          <a:hlinkClick xmlns:r="http://schemas.openxmlformats.org/officeDocument/2006/relationships" r:id="rId5"/>
        </xdr:cNvPr>
        <xdr:cNvGrpSpPr/>
      </xdr:nvGrpSpPr>
      <xdr:grpSpPr>
        <a:xfrm>
          <a:off x="50866" y="2114149"/>
          <a:ext cx="2044634" cy="540000"/>
          <a:chOff x="66738" y="1288649"/>
          <a:chExt cx="1447664" cy="365125"/>
        </a:xfrm>
      </xdr:grpSpPr>
      <xdr:sp macro="" textlink="">
        <xdr:nvSpPr>
          <xdr:cNvPr id="16" name="Datos almacenados 15"/>
          <xdr:cNvSpPr/>
        </xdr:nvSpPr>
        <xdr:spPr>
          <a:xfrm>
            <a:off x="66738" y="1288649"/>
            <a:ext cx="1282700" cy="365125"/>
          </a:xfrm>
          <a:prstGeom prst="flowChartOnlineStorage">
            <a:avLst/>
          </a:prstGeom>
          <a:solidFill>
            <a:srgbClr val="003A7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VE" sz="1400" b="1">
                <a:solidFill>
                  <a:schemeClr val="bg1"/>
                </a:solidFill>
              </a:rPr>
              <a:t>LOPCYMAT</a:t>
            </a:r>
          </a:p>
        </xdr:txBody>
      </xdr:sp>
      <xdr:sp macro="" textlink="">
        <xdr:nvSpPr>
          <xdr:cNvPr id="17" name="Pantalla 16"/>
          <xdr:cNvSpPr/>
        </xdr:nvSpPr>
        <xdr:spPr>
          <a:xfrm>
            <a:off x="1108002" y="1288649"/>
            <a:ext cx="406400" cy="365125"/>
          </a:xfrm>
          <a:prstGeom prst="flowChartDisplay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s-VE" sz="1400" b="1">
              <a:solidFill>
                <a:schemeClr val="accent1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0</xdr:col>
      <xdr:colOff>44516</xdr:colOff>
      <xdr:row>11</xdr:row>
      <xdr:rowOff>26586</xdr:rowOff>
    </xdr:from>
    <xdr:to>
      <xdr:col>1</xdr:col>
      <xdr:colOff>841216</xdr:colOff>
      <xdr:row>12</xdr:row>
      <xdr:rowOff>147486</xdr:rowOff>
    </xdr:to>
    <xdr:grpSp>
      <xdr:nvGrpSpPr>
        <xdr:cNvPr id="18" name="Grupo 17">
          <a:hlinkClick xmlns:r="http://schemas.openxmlformats.org/officeDocument/2006/relationships" r:id="rId6"/>
        </xdr:cNvPr>
        <xdr:cNvGrpSpPr/>
      </xdr:nvGrpSpPr>
      <xdr:grpSpPr>
        <a:xfrm>
          <a:off x="44516" y="2757086"/>
          <a:ext cx="1800000" cy="540000"/>
          <a:chOff x="66738" y="1288649"/>
          <a:chExt cx="1447664" cy="365125"/>
        </a:xfrm>
      </xdr:grpSpPr>
      <xdr:sp macro="" textlink="">
        <xdr:nvSpPr>
          <xdr:cNvPr id="19" name="Datos almacenados 18"/>
          <xdr:cNvSpPr/>
        </xdr:nvSpPr>
        <xdr:spPr>
          <a:xfrm>
            <a:off x="66738" y="1288649"/>
            <a:ext cx="1282700" cy="365125"/>
          </a:xfrm>
          <a:prstGeom prst="flowChartOnlineStorage">
            <a:avLst/>
          </a:prstGeom>
          <a:solidFill>
            <a:srgbClr val="54585A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VE" sz="1000" b="1">
                <a:solidFill>
                  <a:schemeClr val="bg1"/>
                </a:solidFill>
              </a:rPr>
              <a:t>Servicios Sucursal</a:t>
            </a:r>
          </a:p>
        </xdr:txBody>
      </xdr:sp>
      <xdr:sp macro="" textlink="">
        <xdr:nvSpPr>
          <xdr:cNvPr id="20" name="Pantalla 19"/>
          <xdr:cNvSpPr/>
        </xdr:nvSpPr>
        <xdr:spPr>
          <a:xfrm>
            <a:off x="1108002" y="1288649"/>
            <a:ext cx="406400" cy="365125"/>
          </a:xfrm>
          <a:prstGeom prst="flowChartDisplay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s-VE" sz="10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50866</xdr:colOff>
      <xdr:row>12</xdr:row>
      <xdr:rowOff>239311</xdr:rowOff>
    </xdr:from>
    <xdr:to>
      <xdr:col>1</xdr:col>
      <xdr:colOff>847566</xdr:colOff>
      <xdr:row>13</xdr:row>
      <xdr:rowOff>360211</xdr:rowOff>
    </xdr:to>
    <xdr:grpSp>
      <xdr:nvGrpSpPr>
        <xdr:cNvPr id="21" name="Grupo 20"/>
        <xdr:cNvGrpSpPr/>
      </xdr:nvGrpSpPr>
      <xdr:grpSpPr>
        <a:xfrm>
          <a:off x="50866" y="3388911"/>
          <a:ext cx="1800000" cy="540000"/>
          <a:chOff x="66738" y="1288649"/>
          <a:chExt cx="1447664" cy="365125"/>
        </a:xfrm>
      </xdr:grpSpPr>
      <xdr:sp macro="[1]!Muestra" textlink="">
        <xdr:nvSpPr>
          <xdr:cNvPr id="22" name="Datos almacenados 21"/>
          <xdr:cNvSpPr/>
        </xdr:nvSpPr>
        <xdr:spPr>
          <a:xfrm>
            <a:off x="66738" y="1288649"/>
            <a:ext cx="1282700" cy="365125"/>
          </a:xfrm>
          <a:prstGeom prst="flowChartOnlineStorage">
            <a:avLst/>
          </a:prstGeom>
          <a:solidFill>
            <a:srgbClr val="54585A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VE" sz="1000" b="1">
                <a:solidFill>
                  <a:schemeClr val="bg1"/>
                </a:solidFill>
              </a:rPr>
              <a:t>Muestras</a:t>
            </a:r>
          </a:p>
        </xdr:txBody>
      </xdr:sp>
      <xdr:sp macro="[1]!Muestra" textlink="">
        <xdr:nvSpPr>
          <xdr:cNvPr id="23" name="Pantalla 22"/>
          <xdr:cNvSpPr/>
        </xdr:nvSpPr>
        <xdr:spPr>
          <a:xfrm>
            <a:off x="1108002" y="1288649"/>
            <a:ext cx="406400" cy="365125"/>
          </a:xfrm>
          <a:prstGeom prst="flowChartDisplay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s-VE" sz="10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50866</xdr:colOff>
      <xdr:row>19</xdr:row>
      <xdr:rowOff>2774</xdr:rowOff>
    </xdr:from>
    <xdr:to>
      <xdr:col>1</xdr:col>
      <xdr:colOff>736530</xdr:colOff>
      <xdr:row>19</xdr:row>
      <xdr:rowOff>2774</xdr:rowOff>
    </xdr:to>
    <xdr:grpSp>
      <xdr:nvGrpSpPr>
        <xdr:cNvPr id="24" name="Grupo 23"/>
        <xdr:cNvGrpSpPr/>
      </xdr:nvGrpSpPr>
      <xdr:grpSpPr>
        <a:xfrm>
          <a:off x="50866" y="6086074"/>
          <a:ext cx="1688964" cy="0"/>
          <a:chOff x="66738" y="1288649"/>
          <a:chExt cx="1447664" cy="365125"/>
        </a:xfrm>
      </xdr:grpSpPr>
      <xdr:sp macro="" textlink="">
        <xdr:nvSpPr>
          <xdr:cNvPr id="25" name="Datos almacenados 24"/>
          <xdr:cNvSpPr/>
        </xdr:nvSpPr>
        <xdr:spPr>
          <a:xfrm>
            <a:off x="66738" y="1288649"/>
            <a:ext cx="1282700" cy="365125"/>
          </a:xfrm>
          <a:prstGeom prst="flowChartOnlineStorage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s-VE" sz="800"/>
          </a:p>
        </xdr:txBody>
      </xdr:sp>
      <xdr:sp macro="" textlink="">
        <xdr:nvSpPr>
          <xdr:cNvPr id="26" name="Pantalla 25"/>
          <xdr:cNvSpPr/>
        </xdr:nvSpPr>
        <xdr:spPr>
          <a:xfrm>
            <a:off x="1108002" y="1288649"/>
            <a:ext cx="406400" cy="365125"/>
          </a:xfrm>
          <a:prstGeom prst="flowChartDisplay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s-VE" sz="800"/>
          </a:p>
        </xdr:txBody>
      </xdr:sp>
    </xdr:grpSp>
    <xdr:clientData/>
  </xdr:twoCellAnchor>
  <xdr:twoCellAnchor>
    <xdr:from>
      <xdr:col>0</xdr:col>
      <xdr:colOff>50866</xdr:colOff>
      <xdr:row>14</xdr:row>
      <xdr:rowOff>42461</xdr:rowOff>
    </xdr:from>
    <xdr:to>
      <xdr:col>1</xdr:col>
      <xdr:colOff>847566</xdr:colOff>
      <xdr:row>15</xdr:row>
      <xdr:rowOff>163361</xdr:rowOff>
    </xdr:to>
    <xdr:grpSp>
      <xdr:nvGrpSpPr>
        <xdr:cNvPr id="27" name="Grupo 26"/>
        <xdr:cNvGrpSpPr/>
      </xdr:nvGrpSpPr>
      <xdr:grpSpPr>
        <a:xfrm>
          <a:off x="50866" y="4030261"/>
          <a:ext cx="1800000" cy="540000"/>
          <a:chOff x="66738" y="1288649"/>
          <a:chExt cx="1447664" cy="365125"/>
        </a:xfrm>
      </xdr:grpSpPr>
      <xdr:sp macro="[1]!Menu" textlink="">
        <xdr:nvSpPr>
          <xdr:cNvPr id="28" name="Datos almacenados 27"/>
          <xdr:cNvSpPr/>
        </xdr:nvSpPr>
        <xdr:spPr>
          <a:xfrm>
            <a:off x="66738" y="1288649"/>
            <a:ext cx="1282700" cy="365125"/>
          </a:xfrm>
          <a:prstGeom prst="flowChartOnlineStorage">
            <a:avLst/>
          </a:prstGeom>
          <a:solidFill>
            <a:srgbClr val="54585A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VE" sz="1000" b="1">
                <a:solidFill>
                  <a:schemeClr val="bg1"/>
                </a:solidFill>
              </a:rPr>
              <a:t>Menú</a:t>
            </a:r>
          </a:p>
        </xdr:txBody>
      </xdr:sp>
      <xdr:sp macro="[1]!Menu" textlink="">
        <xdr:nvSpPr>
          <xdr:cNvPr id="29" name="Pantalla 28"/>
          <xdr:cNvSpPr/>
        </xdr:nvSpPr>
        <xdr:spPr>
          <a:xfrm>
            <a:off x="1108002" y="1288649"/>
            <a:ext cx="406400" cy="365125"/>
          </a:xfrm>
          <a:prstGeom prst="flowChartDisplay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s-VE" sz="1000" b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0</xdr:row>
      <xdr:rowOff>123824</xdr:rowOff>
    </xdr:from>
    <xdr:to>
      <xdr:col>4</xdr:col>
      <xdr:colOff>352425</xdr:colOff>
      <xdr:row>3</xdr:row>
      <xdr:rowOff>95249</xdr:rowOff>
    </xdr:to>
    <xdr:pic>
      <xdr:nvPicPr>
        <xdr:cNvPr id="2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7250" y="123824"/>
          <a:ext cx="1057275" cy="53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30</xdr:row>
      <xdr:rowOff>20860</xdr:rowOff>
    </xdr:to>
    <xdr:sp macro="" textlink="">
      <xdr:nvSpPr>
        <xdr:cNvPr id="3" name="Rectángulo 2"/>
        <xdr:cNvSpPr/>
      </xdr:nvSpPr>
      <xdr:spPr>
        <a:xfrm>
          <a:off x="0" y="0"/>
          <a:ext cx="1892300" cy="821871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1</xdr:col>
      <xdr:colOff>860490</xdr:colOff>
      <xdr:row>0</xdr:row>
      <xdr:rowOff>0</xdr:rowOff>
    </xdr:from>
    <xdr:to>
      <xdr:col>2</xdr:col>
      <xdr:colOff>7490</xdr:colOff>
      <xdr:row>30</xdr:row>
      <xdr:rowOff>19050</xdr:rowOff>
    </xdr:to>
    <xdr:sp macro="" textlink="">
      <xdr:nvSpPr>
        <xdr:cNvPr id="4" name="Rectángulo 3"/>
        <xdr:cNvSpPr/>
      </xdr:nvSpPr>
      <xdr:spPr>
        <a:xfrm>
          <a:off x="1863790" y="0"/>
          <a:ext cx="36000" cy="8216900"/>
        </a:xfrm>
        <a:prstGeom prst="rect">
          <a:avLst/>
        </a:prstGeom>
        <a:solidFill>
          <a:srgbClr val="92D05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0</xdr:col>
      <xdr:colOff>0</xdr:colOff>
      <xdr:row>0</xdr:row>
      <xdr:rowOff>6350</xdr:rowOff>
    </xdr:from>
    <xdr:to>
      <xdr:col>0</xdr:col>
      <xdr:colOff>36000</xdr:colOff>
      <xdr:row>30</xdr:row>
      <xdr:rowOff>25400</xdr:rowOff>
    </xdr:to>
    <xdr:sp macro="" textlink="">
      <xdr:nvSpPr>
        <xdr:cNvPr id="5" name="Rectángulo 4"/>
        <xdr:cNvSpPr/>
      </xdr:nvSpPr>
      <xdr:spPr>
        <a:xfrm>
          <a:off x="0" y="6350"/>
          <a:ext cx="36000" cy="8216900"/>
        </a:xfrm>
        <a:prstGeom prst="rect">
          <a:avLst/>
        </a:prstGeom>
        <a:solidFill>
          <a:srgbClr val="92D05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0</xdr:col>
      <xdr:colOff>57216</xdr:colOff>
      <xdr:row>4</xdr:row>
      <xdr:rowOff>82550</xdr:rowOff>
    </xdr:from>
    <xdr:to>
      <xdr:col>1</xdr:col>
      <xdr:colOff>853916</xdr:colOff>
      <xdr:row>7</xdr:row>
      <xdr:rowOff>63750</xdr:rowOff>
    </xdr:to>
    <xdr:grpSp>
      <xdr:nvGrpSpPr>
        <xdr:cNvPr id="6" name="Grupo 5">
          <a:hlinkClick xmlns:r="http://schemas.openxmlformats.org/officeDocument/2006/relationships" r:id="rId2"/>
        </xdr:cNvPr>
        <xdr:cNvGrpSpPr/>
      </xdr:nvGrpSpPr>
      <xdr:grpSpPr>
        <a:xfrm>
          <a:off x="57216" y="831850"/>
          <a:ext cx="1800000" cy="540000"/>
          <a:chOff x="41346" y="182563"/>
          <a:chExt cx="1447664" cy="365125"/>
        </a:xfrm>
        <a:solidFill>
          <a:schemeClr val="accent4">
            <a:lumMod val="60000"/>
            <a:lumOff val="40000"/>
          </a:schemeClr>
        </a:solidFill>
      </xdr:grpSpPr>
      <xdr:sp macro="[1]!Calificacion" textlink="">
        <xdr:nvSpPr>
          <xdr:cNvPr id="7" name="Datos almacenados 6"/>
          <xdr:cNvSpPr/>
        </xdr:nvSpPr>
        <xdr:spPr>
          <a:xfrm>
            <a:off x="41346" y="182563"/>
            <a:ext cx="1282700" cy="365125"/>
          </a:xfrm>
          <a:prstGeom prst="flowChartOnlineStorage">
            <a:avLst/>
          </a:prstGeom>
          <a:solidFill>
            <a:srgbClr val="54585A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VE" sz="1000" b="1">
                <a:solidFill>
                  <a:schemeClr val="bg1"/>
                </a:solidFill>
              </a:rPr>
              <a:t>Cartelera Fiscal</a:t>
            </a:r>
          </a:p>
        </xdr:txBody>
      </xdr:sp>
      <xdr:sp macro="[1]!Calificacion" textlink="">
        <xdr:nvSpPr>
          <xdr:cNvPr id="8" name="Pantalla 7"/>
          <xdr:cNvSpPr/>
        </xdr:nvSpPr>
        <xdr:spPr>
          <a:xfrm>
            <a:off x="1082610" y="182563"/>
            <a:ext cx="406400" cy="365125"/>
          </a:xfrm>
          <a:prstGeom prst="flowChartDisplay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VE" sz="10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38166</xdr:colOff>
      <xdr:row>0</xdr:row>
      <xdr:rowOff>175813</xdr:rowOff>
    </xdr:from>
    <xdr:to>
      <xdr:col>1</xdr:col>
      <xdr:colOff>834866</xdr:colOff>
      <xdr:row>3</xdr:row>
      <xdr:rowOff>157013</xdr:rowOff>
    </xdr:to>
    <xdr:grpSp>
      <xdr:nvGrpSpPr>
        <xdr:cNvPr id="9" name="Grupo 8">
          <a:hlinkClick xmlns:r="http://schemas.openxmlformats.org/officeDocument/2006/relationships" r:id="rId3"/>
        </xdr:cNvPr>
        <xdr:cNvGrpSpPr/>
      </xdr:nvGrpSpPr>
      <xdr:grpSpPr>
        <a:xfrm>
          <a:off x="38166" y="175813"/>
          <a:ext cx="1800000" cy="540000"/>
          <a:chOff x="33408" y="747313"/>
          <a:chExt cx="1447664" cy="365125"/>
        </a:xfrm>
      </xdr:grpSpPr>
      <xdr:sp macro="[1]!Administracion" textlink="">
        <xdr:nvSpPr>
          <xdr:cNvPr id="10" name="Datos almacenados 9"/>
          <xdr:cNvSpPr/>
        </xdr:nvSpPr>
        <xdr:spPr>
          <a:xfrm>
            <a:off x="33408" y="747313"/>
            <a:ext cx="1282700" cy="365125"/>
          </a:xfrm>
          <a:prstGeom prst="flowChartOnlineStorage">
            <a:avLst/>
          </a:prstGeom>
          <a:solidFill>
            <a:srgbClr val="54585A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VE" sz="1050" b="1">
                <a:solidFill>
                  <a:schemeClr val="bg1"/>
                </a:solidFill>
              </a:rPr>
              <a:t>Administración</a:t>
            </a:r>
          </a:p>
        </xdr:txBody>
      </xdr:sp>
      <xdr:sp macro="" textlink="">
        <xdr:nvSpPr>
          <xdr:cNvPr id="11" name="Pantalla 10"/>
          <xdr:cNvSpPr/>
        </xdr:nvSpPr>
        <xdr:spPr>
          <a:xfrm>
            <a:off x="1074672" y="747313"/>
            <a:ext cx="406400" cy="365125"/>
          </a:xfrm>
          <a:prstGeom prst="flowChartDisplay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s-VE" sz="10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50866</xdr:colOff>
      <xdr:row>7</xdr:row>
      <xdr:rowOff>158750</xdr:rowOff>
    </xdr:from>
    <xdr:to>
      <xdr:col>1</xdr:col>
      <xdr:colOff>847566</xdr:colOff>
      <xdr:row>9</xdr:row>
      <xdr:rowOff>190750</xdr:rowOff>
    </xdr:to>
    <xdr:grpSp>
      <xdr:nvGrpSpPr>
        <xdr:cNvPr id="12" name="Grupo 11">
          <a:hlinkClick xmlns:r="http://schemas.openxmlformats.org/officeDocument/2006/relationships" r:id="rId4"/>
        </xdr:cNvPr>
        <xdr:cNvGrpSpPr/>
      </xdr:nvGrpSpPr>
      <xdr:grpSpPr>
        <a:xfrm>
          <a:off x="50866" y="1466850"/>
          <a:ext cx="1800000" cy="540000"/>
          <a:chOff x="66738" y="1288649"/>
          <a:chExt cx="1447664" cy="365125"/>
        </a:xfrm>
      </xdr:grpSpPr>
      <xdr:sp macro="" textlink="">
        <xdr:nvSpPr>
          <xdr:cNvPr id="13" name="Datos almacenados 12"/>
          <xdr:cNvSpPr/>
        </xdr:nvSpPr>
        <xdr:spPr>
          <a:xfrm>
            <a:off x="66738" y="1288649"/>
            <a:ext cx="1282700" cy="365125"/>
          </a:xfrm>
          <a:prstGeom prst="flowChartOnlineStorage">
            <a:avLst/>
          </a:prstGeom>
          <a:solidFill>
            <a:srgbClr val="54585A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VE" sz="1000" b="1">
                <a:solidFill>
                  <a:schemeClr val="bg1"/>
                </a:solidFill>
              </a:rPr>
              <a:t>Pagos ADS</a:t>
            </a:r>
          </a:p>
        </xdr:txBody>
      </xdr:sp>
      <xdr:sp macro="" textlink="">
        <xdr:nvSpPr>
          <xdr:cNvPr id="14" name="Pantalla 13"/>
          <xdr:cNvSpPr/>
        </xdr:nvSpPr>
        <xdr:spPr>
          <a:xfrm>
            <a:off x="1108002" y="1288649"/>
            <a:ext cx="406400" cy="365125"/>
          </a:xfrm>
          <a:prstGeom prst="flowChartDisplay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s-VE" sz="10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50866</xdr:colOff>
      <xdr:row>9</xdr:row>
      <xdr:rowOff>291699</xdr:rowOff>
    </xdr:from>
    <xdr:to>
      <xdr:col>1</xdr:col>
      <xdr:colOff>847566</xdr:colOff>
      <xdr:row>11</xdr:row>
      <xdr:rowOff>183999</xdr:rowOff>
    </xdr:to>
    <xdr:grpSp>
      <xdr:nvGrpSpPr>
        <xdr:cNvPr id="15" name="Grupo 14">
          <a:hlinkClick xmlns:r="http://schemas.openxmlformats.org/officeDocument/2006/relationships" r:id="rId5"/>
        </xdr:cNvPr>
        <xdr:cNvGrpSpPr/>
      </xdr:nvGrpSpPr>
      <xdr:grpSpPr>
        <a:xfrm>
          <a:off x="50866" y="2107799"/>
          <a:ext cx="1800000" cy="540000"/>
          <a:chOff x="66738" y="1288649"/>
          <a:chExt cx="1447664" cy="365125"/>
        </a:xfrm>
      </xdr:grpSpPr>
      <xdr:sp macro="" textlink="">
        <xdr:nvSpPr>
          <xdr:cNvPr id="16" name="Datos almacenados 15"/>
          <xdr:cNvSpPr/>
        </xdr:nvSpPr>
        <xdr:spPr>
          <a:xfrm>
            <a:off x="66738" y="1288649"/>
            <a:ext cx="1282700" cy="365125"/>
          </a:xfrm>
          <a:prstGeom prst="flowChartOnlineStorage">
            <a:avLst/>
          </a:prstGeom>
          <a:solidFill>
            <a:srgbClr val="54585A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VE" sz="1000" b="1">
                <a:solidFill>
                  <a:schemeClr val="bg1"/>
                </a:solidFill>
              </a:rPr>
              <a:t>LOPCYMAT</a:t>
            </a:r>
          </a:p>
        </xdr:txBody>
      </xdr:sp>
      <xdr:sp macro="" textlink="">
        <xdr:nvSpPr>
          <xdr:cNvPr id="17" name="Pantalla 16"/>
          <xdr:cNvSpPr/>
        </xdr:nvSpPr>
        <xdr:spPr>
          <a:xfrm>
            <a:off x="1108002" y="1288649"/>
            <a:ext cx="406400" cy="365125"/>
          </a:xfrm>
          <a:prstGeom prst="flowChartDisplay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s-VE" sz="10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44516</xdr:colOff>
      <xdr:row>11</xdr:row>
      <xdr:rowOff>267886</xdr:rowOff>
    </xdr:from>
    <xdr:to>
      <xdr:col>3</xdr:col>
      <xdr:colOff>0</xdr:colOff>
      <xdr:row>13</xdr:row>
      <xdr:rowOff>160186</xdr:rowOff>
    </xdr:to>
    <xdr:grpSp>
      <xdr:nvGrpSpPr>
        <xdr:cNvPr id="18" name="Grupo 17">
          <a:hlinkClick xmlns:r="http://schemas.openxmlformats.org/officeDocument/2006/relationships" r:id="rId6"/>
        </xdr:cNvPr>
        <xdr:cNvGrpSpPr/>
      </xdr:nvGrpSpPr>
      <xdr:grpSpPr>
        <a:xfrm>
          <a:off x="44516" y="2731686"/>
          <a:ext cx="2025584" cy="540000"/>
          <a:chOff x="66738" y="1288649"/>
          <a:chExt cx="1447664" cy="365125"/>
        </a:xfrm>
      </xdr:grpSpPr>
      <xdr:sp macro="" textlink="">
        <xdr:nvSpPr>
          <xdr:cNvPr id="19" name="Datos almacenados 18"/>
          <xdr:cNvSpPr/>
        </xdr:nvSpPr>
        <xdr:spPr>
          <a:xfrm>
            <a:off x="66738" y="1288649"/>
            <a:ext cx="1282700" cy="365125"/>
          </a:xfrm>
          <a:prstGeom prst="flowChartOnlineStorage">
            <a:avLst/>
          </a:prstGeom>
          <a:solidFill>
            <a:srgbClr val="003A7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VE" sz="1400" b="1">
                <a:solidFill>
                  <a:schemeClr val="bg1"/>
                </a:solidFill>
              </a:rPr>
              <a:t>Servicios Sucursal</a:t>
            </a:r>
          </a:p>
        </xdr:txBody>
      </xdr:sp>
      <xdr:sp macro="" textlink="">
        <xdr:nvSpPr>
          <xdr:cNvPr id="20" name="Pantalla 19"/>
          <xdr:cNvSpPr/>
        </xdr:nvSpPr>
        <xdr:spPr>
          <a:xfrm>
            <a:off x="1108002" y="1288649"/>
            <a:ext cx="406400" cy="365125"/>
          </a:xfrm>
          <a:prstGeom prst="flowChartDisplay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s-VE" sz="10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50866</xdr:colOff>
      <xdr:row>13</xdr:row>
      <xdr:rowOff>252011</xdr:rowOff>
    </xdr:from>
    <xdr:to>
      <xdr:col>1</xdr:col>
      <xdr:colOff>847566</xdr:colOff>
      <xdr:row>15</xdr:row>
      <xdr:rowOff>144311</xdr:rowOff>
    </xdr:to>
    <xdr:grpSp>
      <xdr:nvGrpSpPr>
        <xdr:cNvPr id="21" name="Grupo 20"/>
        <xdr:cNvGrpSpPr/>
      </xdr:nvGrpSpPr>
      <xdr:grpSpPr>
        <a:xfrm>
          <a:off x="50866" y="3363511"/>
          <a:ext cx="1800000" cy="540000"/>
          <a:chOff x="66738" y="1288649"/>
          <a:chExt cx="1447664" cy="365125"/>
        </a:xfrm>
      </xdr:grpSpPr>
      <xdr:sp macro="[1]!Muestra" textlink="">
        <xdr:nvSpPr>
          <xdr:cNvPr id="22" name="Datos almacenados 21"/>
          <xdr:cNvSpPr/>
        </xdr:nvSpPr>
        <xdr:spPr>
          <a:xfrm>
            <a:off x="66738" y="1288649"/>
            <a:ext cx="1282700" cy="365125"/>
          </a:xfrm>
          <a:prstGeom prst="flowChartOnlineStorage">
            <a:avLst/>
          </a:prstGeom>
          <a:solidFill>
            <a:srgbClr val="54585A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VE" sz="1000" b="1">
                <a:solidFill>
                  <a:schemeClr val="bg1"/>
                </a:solidFill>
              </a:rPr>
              <a:t>Muestras</a:t>
            </a:r>
          </a:p>
        </xdr:txBody>
      </xdr:sp>
      <xdr:sp macro="[1]!Muestra" textlink="">
        <xdr:nvSpPr>
          <xdr:cNvPr id="23" name="Pantalla 22"/>
          <xdr:cNvSpPr/>
        </xdr:nvSpPr>
        <xdr:spPr>
          <a:xfrm>
            <a:off x="1108002" y="1288649"/>
            <a:ext cx="406400" cy="365125"/>
          </a:xfrm>
          <a:prstGeom prst="flowChartDisplay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s-VE" sz="10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50866</xdr:colOff>
      <xdr:row>19</xdr:row>
      <xdr:rowOff>2774</xdr:rowOff>
    </xdr:from>
    <xdr:to>
      <xdr:col>1</xdr:col>
      <xdr:colOff>736530</xdr:colOff>
      <xdr:row>19</xdr:row>
      <xdr:rowOff>2774</xdr:rowOff>
    </xdr:to>
    <xdr:grpSp>
      <xdr:nvGrpSpPr>
        <xdr:cNvPr id="24" name="Grupo 23"/>
        <xdr:cNvGrpSpPr/>
      </xdr:nvGrpSpPr>
      <xdr:grpSpPr>
        <a:xfrm>
          <a:off x="50866" y="4917674"/>
          <a:ext cx="1688964" cy="0"/>
          <a:chOff x="66738" y="1288649"/>
          <a:chExt cx="1447664" cy="365125"/>
        </a:xfrm>
      </xdr:grpSpPr>
      <xdr:sp macro="" textlink="">
        <xdr:nvSpPr>
          <xdr:cNvPr id="25" name="Datos almacenados 24"/>
          <xdr:cNvSpPr/>
        </xdr:nvSpPr>
        <xdr:spPr>
          <a:xfrm>
            <a:off x="66738" y="1288649"/>
            <a:ext cx="1282700" cy="365125"/>
          </a:xfrm>
          <a:prstGeom prst="flowChartOnlineStorage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s-VE" sz="800"/>
          </a:p>
        </xdr:txBody>
      </xdr:sp>
      <xdr:sp macro="" textlink="">
        <xdr:nvSpPr>
          <xdr:cNvPr id="26" name="Pantalla 25"/>
          <xdr:cNvSpPr/>
        </xdr:nvSpPr>
        <xdr:spPr>
          <a:xfrm>
            <a:off x="1108002" y="1288649"/>
            <a:ext cx="406400" cy="365125"/>
          </a:xfrm>
          <a:prstGeom prst="flowChartDisplay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s-VE" sz="800"/>
          </a:p>
        </xdr:txBody>
      </xdr:sp>
    </xdr:grpSp>
    <xdr:clientData/>
  </xdr:twoCellAnchor>
  <xdr:twoCellAnchor>
    <xdr:from>
      <xdr:col>0</xdr:col>
      <xdr:colOff>50866</xdr:colOff>
      <xdr:row>16</xdr:row>
      <xdr:rowOff>55161</xdr:rowOff>
    </xdr:from>
    <xdr:to>
      <xdr:col>1</xdr:col>
      <xdr:colOff>847566</xdr:colOff>
      <xdr:row>17</xdr:row>
      <xdr:rowOff>271311</xdr:rowOff>
    </xdr:to>
    <xdr:grpSp>
      <xdr:nvGrpSpPr>
        <xdr:cNvPr id="27" name="Grupo 26"/>
        <xdr:cNvGrpSpPr/>
      </xdr:nvGrpSpPr>
      <xdr:grpSpPr>
        <a:xfrm>
          <a:off x="50866" y="3998511"/>
          <a:ext cx="1800000" cy="540000"/>
          <a:chOff x="66738" y="1288649"/>
          <a:chExt cx="1447664" cy="365125"/>
        </a:xfrm>
      </xdr:grpSpPr>
      <xdr:sp macro="[1]!Menu" textlink="">
        <xdr:nvSpPr>
          <xdr:cNvPr id="28" name="Datos almacenados 27"/>
          <xdr:cNvSpPr/>
        </xdr:nvSpPr>
        <xdr:spPr>
          <a:xfrm>
            <a:off x="66738" y="1288649"/>
            <a:ext cx="1282700" cy="365125"/>
          </a:xfrm>
          <a:prstGeom prst="flowChartOnlineStorage">
            <a:avLst/>
          </a:prstGeom>
          <a:solidFill>
            <a:srgbClr val="54585A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VE" sz="1000" b="1">
                <a:solidFill>
                  <a:schemeClr val="bg1"/>
                </a:solidFill>
              </a:rPr>
              <a:t>Menú</a:t>
            </a:r>
          </a:p>
        </xdr:txBody>
      </xdr:sp>
      <xdr:sp macro="[1]!Menu" textlink="">
        <xdr:nvSpPr>
          <xdr:cNvPr id="29" name="Pantalla 28"/>
          <xdr:cNvSpPr/>
        </xdr:nvSpPr>
        <xdr:spPr>
          <a:xfrm>
            <a:off x="1108002" y="1288649"/>
            <a:ext cx="406400" cy="365125"/>
          </a:xfrm>
          <a:prstGeom prst="flowChartDisplay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s-VE" sz="1000" b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solidado%20Auditori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71\Corporativo\Seguros%20Constitucion\Auditoria\Contraloria\2026\SUCURSALES\401201%20VALLE%20DE%20LA%20PASCUA\Formatos%20de%20Trabajo\Formato%20Administracion%20Consolidado\AC-B.3.5%20-%20Administracion%20Consolidad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gomez/Desktop/AC-C.1%20Calificaci&#243;n%20GUARENAS%20LP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71\Corporativo\Seguros%20Constitucion\Auditoria\Contraloria\2026\GERENCIA\POA%202026%20Gerencia%20de%20Auditoria%20y%20Control%20Interno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spp02\FsPWGerenciaMedia\AUDITORIAS%202015\MERCANTIL%20SEGUROS\SUCURSALES\01.%20AUDITORIAS%20GENERALES\01.%20GUARENAS\03.%20CALIFICACION%20E%20INFORME\SUCURSALES\CALIF_ADMINISTRACI&#211;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eguros\sfs\AUDITORIAS%202013\01.%20PROCESOS%20CENTRALES\01.%20AUDITORIAS%20GENERALES\7.-%20RESPONSABILIDAD%20CIVIL%20DE%20VEH&#205;CULOS\02.%20TRABAJO%20DE%20CAMPO\REVISION%20DEL%20PROCESO\Indem%20RC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ú"/>
      <sheetName val="AC-B.3.5 Administración"/>
      <sheetName val="AC-B.3.5 Cartelera Fiscal"/>
      <sheetName val="AC-B.3.13 Pagos ADS"/>
      <sheetName val="LOPCYMAT"/>
      <sheetName val="Servicios Sucursal"/>
      <sheetName val="AC-B.1 Auto"/>
      <sheetName val="AC-B.1.1 Auto"/>
      <sheetName val="AC-B.2.2 Auto"/>
      <sheetName val="AC-B.2.2 Evaluación Auto"/>
      <sheetName val="AC-B.1. Patrimonial"/>
      <sheetName val="AC-B.1.2 Patrimonial"/>
      <sheetName val="AC-B.2.3 Patrimoniales"/>
      <sheetName val="AC-B.2.3 Patrimonial"/>
      <sheetName val="AC-B.2.4 Personas"/>
      <sheetName val="AC-B.2.4 Personas Eval"/>
      <sheetName val="AC-B.1.3 Personas"/>
      <sheetName val="MUESTRA"/>
      <sheetName val="AC-B.1.3 Personas Evaluación"/>
      <sheetName val="Calificación"/>
    </sheetNames>
    <definedNames>
      <definedName name="Administracion"/>
      <definedName name="Calificacion"/>
      <definedName name="Menu"/>
      <definedName name="Muestra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-B.1.3 Personas (2)"/>
      <sheetName val="AC-B.3.5 Administraciòn"/>
      <sheetName val="Normativa"/>
      <sheetName val="Calif Guarenas Draft"/>
      <sheetName val="Calificación Guarenas"/>
      <sheetName val="AC-B.3.5 Cartelera Fiscal"/>
      <sheetName val="Justificaciòn Mètodo Muestreos"/>
      <sheetName val="AC-B.3.5 Checklist Fiscal"/>
      <sheetName val="AC-B.3.13 Pagos ADS"/>
      <sheetName val="MUESTRA (2)"/>
      <sheetName val="LOPCYMAT"/>
      <sheetName val="Servicios Sucursal"/>
      <sheetName val="Data Base"/>
      <sheetName val="Nivel de Riesgo"/>
    </sheetNames>
    <sheetDataSet>
      <sheetData sheetId="0"/>
      <sheetData sheetId="1">
        <row r="118">
          <cell r="N118"/>
        </row>
      </sheetData>
      <sheetData sheetId="2"/>
      <sheetData sheetId="3">
        <row r="10">
          <cell r="G10" t="str">
            <v>Q:\Seguros Constitucion\Auditoria\Contraloria\AUDITORIA\SEGUROS CONSTITUCION\2025\2- COMERCIAL\100302 GUARENAS\AC ARCHIVO CORRIENTE\</v>
          </cell>
        </row>
        <row r="27">
          <cell r="I27">
            <v>2.83</v>
          </cell>
        </row>
        <row r="34">
          <cell r="D34">
            <v>5</v>
          </cell>
          <cell r="I34">
            <v>3.02</v>
          </cell>
        </row>
        <row r="70">
          <cell r="S70">
            <v>1</v>
          </cell>
        </row>
        <row r="71">
          <cell r="S71" t="e">
            <v>#REF!</v>
          </cell>
        </row>
        <row r="72">
          <cell r="S72" t="e">
            <v>#REF!</v>
          </cell>
        </row>
        <row r="80">
          <cell r="S80" t="e">
            <v>#REF!</v>
          </cell>
        </row>
        <row r="81">
          <cell r="S81">
            <v>0.01</v>
          </cell>
        </row>
      </sheetData>
      <sheetData sheetId="4">
        <row r="58">
          <cell r="J58">
            <v>4.1265432098765435</v>
          </cell>
        </row>
      </sheetData>
      <sheetData sheetId="5">
        <row r="6">
          <cell r="U6"/>
        </row>
      </sheetData>
      <sheetData sheetId="6"/>
      <sheetData sheetId="7"/>
      <sheetData sheetId="8">
        <row r="13">
          <cell r="O13" t="str">
            <v>Verificar que la relación de egreso se encuentre firmada por el administrador y el ADS</v>
          </cell>
        </row>
      </sheetData>
      <sheetData sheetId="9">
        <row r="15">
          <cell r="B15">
            <v>3603</v>
          </cell>
        </row>
      </sheetData>
      <sheetData sheetId="10">
        <row r="47">
          <cell r="O47" t="str">
            <v/>
          </cell>
        </row>
      </sheetData>
      <sheetData sheetId="11">
        <row r="71">
          <cell r="O71" t="str">
            <v/>
          </cell>
        </row>
      </sheetData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ificaciòn Guarenas"/>
      <sheetName val="Justificaciòn Mètodo Muestreos"/>
      <sheetName val="Tacometro"/>
      <sheetName val="tablas"/>
    </sheetNames>
    <sheetDataSet>
      <sheetData sheetId="0"/>
      <sheetData sheetId="1"/>
      <sheetData sheetId="2">
        <row r="2">
          <cell r="D2">
            <v>2.42</v>
          </cell>
        </row>
      </sheetData>
      <sheetData sheetId="3">
        <row r="2">
          <cell r="A2" t="str">
            <v>ACARIGUA</v>
          </cell>
          <cell r="C2" t="str">
            <v>GILDA BRICEÑO</v>
          </cell>
          <cell r="D2" t="str">
            <v>gibriceno</v>
          </cell>
        </row>
        <row r="3">
          <cell r="A3" t="str">
            <v>APURE</v>
          </cell>
          <cell r="C3" t="str">
            <v>ZAIRA DIAZ</v>
          </cell>
          <cell r="D3" t="str">
            <v>zadiaz</v>
          </cell>
        </row>
        <row r="4">
          <cell r="A4" t="str">
            <v>BARINAS</v>
          </cell>
          <cell r="C4" t="str">
            <v>MARIA EUGENIA JIMENEZ</v>
          </cell>
          <cell r="D4" t="str">
            <v>maejimenez</v>
          </cell>
        </row>
        <row r="5">
          <cell r="A5" t="str">
            <v>BARQUISIMETO</v>
          </cell>
          <cell r="C5" t="str">
            <v>ANDERSON BLANCO</v>
          </cell>
          <cell r="D5" t="str">
            <v>anblanco</v>
          </cell>
        </row>
        <row r="6">
          <cell r="A6" t="str">
            <v>CALABOZO</v>
          </cell>
          <cell r="C6" t="str">
            <v>EDGAR FUENTES</v>
          </cell>
          <cell r="D6" t="str">
            <v>edfuentes</v>
          </cell>
        </row>
        <row r="7">
          <cell r="A7" t="str">
            <v>CARACAS</v>
          </cell>
          <cell r="C7" t="str">
            <v>MILAGROS PASCUARELLI</v>
          </cell>
          <cell r="D7" t="str">
            <v>mpascuarelli</v>
          </cell>
        </row>
        <row r="8">
          <cell r="A8" t="str">
            <v>CARUPANO</v>
          </cell>
        </row>
        <row r="9">
          <cell r="A9" t="str">
            <v>CASA MATRIZ</v>
          </cell>
        </row>
        <row r="10">
          <cell r="A10" t="str">
            <v>CHARALLAVE</v>
          </cell>
        </row>
        <row r="11">
          <cell r="A11" t="str">
            <v>CUENTAS CORPORATIVAS</v>
          </cell>
        </row>
        <row r="12">
          <cell r="A12" t="str">
            <v>CUMANA</v>
          </cell>
        </row>
        <row r="13">
          <cell r="A13" t="str">
            <v>EL TIGRE</v>
          </cell>
        </row>
        <row r="14">
          <cell r="A14" t="str">
            <v>GUARENAS</v>
          </cell>
        </row>
        <row r="15">
          <cell r="A15" t="str">
            <v>GUIRIA</v>
          </cell>
        </row>
        <row r="16">
          <cell r="A16" t="str">
            <v>LECHERIAS</v>
          </cell>
        </row>
        <row r="17">
          <cell r="A17" t="str">
            <v>MARACAIBO</v>
          </cell>
        </row>
        <row r="18">
          <cell r="A18" t="str">
            <v>MARACAY</v>
          </cell>
        </row>
        <row r="19">
          <cell r="A19" t="str">
            <v>MATURIN</v>
          </cell>
        </row>
        <row r="20">
          <cell r="A20" t="str">
            <v>MERIDA</v>
          </cell>
        </row>
        <row r="21">
          <cell r="A21" t="str">
            <v>PORLAMAR</v>
          </cell>
        </row>
        <row r="22">
          <cell r="A22" t="str">
            <v>PUERTO ORDAZ</v>
          </cell>
        </row>
        <row r="23">
          <cell r="A23" t="str">
            <v>SAN CARLOS</v>
          </cell>
        </row>
        <row r="24">
          <cell r="A24" t="str">
            <v>SAN CRISTOBAL</v>
          </cell>
        </row>
        <row r="25">
          <cell r="A25" t="str">
            <v>SAN FELIPE</v>
          </cell>
        </row>
        <row r="26">
          <cell r="A26" t="str">
            <v>VALENCIA</v>
          </cell>
        </row>
        <row r="27">
          <cell r="A27" t="str">
            <v>VALERA</v>
          </cell>
        </row>
        <row r="28">
          <cell r="A28" t="str">
            <v>VALLE DE LA PASCUA</v>
          </cell>
        </row>
        <row r="29">
          <cell r="A29" t="str">
            <v>VARGAS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A2026"/>
      <sheetName val="PAEC 2026"/>
      <sheetName val="POA 2026 Sucursales"/>
      <sheetName val="POA A&amp;CI 2026 "/>
      <sheetName val="TABLAS"/>
      <sheetName val="CALENDARIO"/>
    </sheetNames>
    <sheetDataSet>
      <sheetData sheetId="0">
        <row r="1">
          <cell r="A1" t="str">
            <v>SEGUROS CONSTITUCIÓN, C.A.</v>
          </cell>
        </row>
        <row r="2">
          <cell r="A2" t="str">
            <v>RIF J-090286233</v>
          </cell>
        </row>
        <row r="3">
          <cell r="A3" t="str">
            <v>Contraloría</v>
          </cell>
        </row>
        <row r="4">
          <cell r="A4" t="str">
            <v>Gerencia de Auditoría &amp; Control Interno</v>
          </cell>
        </row>
      </sheetData>
      <sheetData sheetId="1"/>
      <sheetData sheetId="2"/>
      <sheetData sheetId="3"/>
      <sheetData sheetId="4">
        <row r="7">
          <cell r="F7">
            <v>8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Calif Admon"/>
      <sheetName val="Arqueo Caja Principal"/>
      <sheetName val="Arqueo Caja Notaria"/>
      <sheetName val="Dep. Ingreso Caja"/>
      <sheetName val="Ingresos más de 30 días"/>
      <sheetName val="Cheques Devueltos"/>
      <sheetName val="Egresos Administrativos"/>
      <sheetName val="Gastos de Viajes"/>
      <sheetName val="Cartas de Autorización"/>
      <sheetName val="Cheques por entregar"/>
      <sheetName val="Deberes Formales"/>
      <sheetName val="Contabilidad"/>
      <sheetName val="Mant. de Instalaciones"/>
      <sheetName val="Aspectos Administrativos"/>
      <sheetName val="Operaciones Regionales"/>
      <sheetName val="TABLA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B3" t="str">
            <v>Riesgos</v>
          </cell>
        </row>
        <row r="4">
          <cell r="B4" t="str">
            <v>Control Interno</v>
          </cell>
        </row>
        <row r="5">
          <cell r="B5" t="str">
            <v>Recursos</v>
          </cell>
        </row>
        <row r="6">
          <cell r="B6" t="str">
            <v>PCLCFT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estra Universo Auditoria"/>
      <sheetName val="Formula Muestreo"/>
      <sheetName val="Resumen x suc causa"/>
      <sheetName val="Resumen x analista"/>
      <sheetName val="Resumen x notificador"/>
      <sheetName val="Resumen x abog"/>
      <sheetName val="Muestra"/>
      <sheetName val="Detalles de Stros Aut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>
        <row r="328">
          <cell r="A328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tabSelected="1" topLeftCell="A31" workbookViewId="0">
      <selection activeCell="C9" sqref="C9"/>
    </sheetView>
  </sheetViews>
  <sheetFormatPr baseColWidth="10" defaultRowHeight="14.5"/>
  <cols>
    <col min="1" max="1" width="35.453125" style="124" customWidth="1"/>
    <col min="2" max="2" width="21.81640625" style="125" customWidth="1"/>
    <col min="3" max="3" width="93.81640625" style="124" customWidth="1"/>
    <col min="4" max="12" width="14.453125" style="125" customWidth="1"/>
    <col min="13" max="16384" width="10.90625" style="125"/>
  </cols>
  <sheetData>
    <row r="1" spans="1:3" ht="15" thickBot="1"/>
    <row r="2" spans="1:3" ht="14.5" customHeight="1">
      <c r="A2" s="126" t="s">
        <v>0</v>
      </c>
      <c r="B2" s="1" t="s">
        <v>1</v>
      </c>
      <c r="C2" s="139" t="s">
        <v>2</v>
      </c>
    </row>
    <row r="3" spans="1:3" ht="14.5" customHeight="1">
      <c r="A3" s="127"/>
      <c r="B3" s="2" t="s">
        <v>3</v>
      </c>
      <c r="C3" s="140" t="s">
        <v>4</v>
      </c>
    </row>
    <row r="4" spans="1:3" ht="14.5" customHeight="1">
      <c r="A4" s="127"/>
      <c r="B4" s="2" t="s">
        <v>5</v>
      </c>
      <c r="C4" s="140" t="s">
        <v>6</v>
      </c>
    </row>
    <row r="5" spans="1:3" ht="15" customHeight="1" thickBot="1">
      <c r="A5" s="128"/>
      <c r="B5" s="3" t="s">
        <v>7</v>
      </c>
      <c r="C5" s="141" t="s">
        <v>8</v>
      </c>
    </row>
    <row r="7" spans="1:3" ht="15" thickBot="1"/>
    <row r="8" spans="1:3" ht="15" customHeight="1" thickBot="1">
      <c r="A8" s="126" t="s">
        <v>9</v>
      </c>
      <c r="B8" s="1" t="s">
        <v>10</v>
      </c>
      <c r="C8" s="138" t="s">
        <v>17</v>
      </c>
    </row>
    <row r="9" spans="1:3" ht="15" customHeight="1" thickBot="1">
      <c r="A9" s="127"/>
      <c r="B9" s="2" t="s">
        <v>11</v>
      </c>
      <c r="C9" s="138" t="s">
        <v>18</v>
      </c>
    </row>
    <row r="10" spans="1:3" ht="15" customHeight="1" thickBot="1">
      <c r="A10" s="127"/>
      <c r="B10" s="2" t="s">
        <v>12</v>
      </c>
      <c r="C10" s="138" t="s">
        <v>19</v>
      </c>
    </row>
    <row r="11" spans="1:3" ht="15" customHeight="1" thickBot="1">
      <c r="A11" s="127"/>
      <c r="B11" s="2" t="s">
        <v>13</v>
      </c>
      <c r="C11" s="138" t="s">
        <v>20</v>
      </c>
    </row>
    <row r="12" spans="1:3" ht="15" customHeight="1" thickBot="1">
      <c r="A12" s="127"/>
      <c r="B12" s="2" t="s">
        <v>14</v>
      </c>
      <c r="C12" s="138" t="s">
        <v>21</v>
      </c>
    </row>
    <row r="13" spans="1:3" ht="14.5" customHeight="1">
      <c r="A13" s="127"/>
      <c r="B13" s="2" t="s">
        <v>15</v>
      </c>
      <c r="C13" s="138" t="s">
        <v>22</v>
      </c>
    </row>
    <row r="14" spans="1:3" ht="15" customHeight="1" thickBot="1">
      <c r="A14" s="128"/>
      <c r="B14" s="4" t="s">
        <v>16</v>
      </c>
      <c r="C14" s="142" t="s">
        <v>23</v>
      </c>
    </row>
    <row r="17" spans="1:3" ht="14.5" customHeight="1">
      <c r="A17" s="129" t="s">
        <v>236</v>
      </c>
      <c r="B17" s="123" t="s">
        <v>191</v>
      </c>
      <c r="C17" s="142" t="s">
        <v>192</v>
      </c>
    </row>
    <row r="18" spans="1:3" ht="14.5" customHeight="1">
      <c r="A18" s="130"/>
      <c r="B18" s="123" t="s">
        <v>193</v>
      </c>
      <c r="C18" s="142" t="s">
        <v>194</v>
      </c>
    </row>
    <row r="19" spans="1:3" ht="14.5" customHeight="1">
      <c r="A19" s="130"/>
      <c r="B19" s="123" t="s">
        <v>195</v>
      </c>
      <c r="C19" s="143" t="s">
        <v>196</v>
      </c>
    </row>
    <row r="20" spans="1:3" ht="14.5" customHeight="1">
      <c r="A20" s="130"/>
      <c r="B20" s="123" t="s">
        <v>197</v>
      </c>
      <c r="C20" s="142" t="s">
        <v>198</v>
      </c>
    </row>
    <row r="21" spans="1:3" ht="14.5" customHeight="1">
      <c r="A21" s="130"/>
      <c r="B21" s="123" t="s">
        <v>199</v>
      </c>
      <c r="C21" s="142" t="s">
        <v>200</v>
      </c>
    </row>
    <row r="22" spans="1:3" ht="14.5" customHeight="1">
      <c r="A22" s="130"/>
      <c r="B22" s="123" t="s">
        <v>201</v>
      </c>
      <c r="C22" s="142" t="s">
        <v>202</v>
      </c>
    </row>
    <row r="23" spans="1:3" ht="14.5" customHeight="1">
      <c r="A23" s="130"/>
      <c r="B23" s="123" t="s">
        <v>203</v>
      </c>
      <c r="C23" s="142" t="s">
        <v>204</v>
      </c>
    </row>
    <row r="24" spans="1:3" ht="14.5" customHeight="1">
      <c r="A24" s="130"/>
      <c r="B24" s="123" t="s">
        <v>205</v>
      </c>
      <c r="C24" s="142" t="s">
        <v>206</v>
      </c>
    </row>
    <row r="25" spans="1:3" ht="14.5" customHeight="1">
      <c r="A25" s="130"/>
      <c r="B25" s="123" t="s">
        <v>207</v>
      </c>
      <c r="C25" s="142" t="s">
        <v>208</v>
      </c>
    </row>
    <row r="26" spans="1:3" ht="14.5" customHeight="1">
      <c r="A26" s="130"/>
      <c r="B26" s="123" t="s">
        <v>209</v>
      </c>
      <c r="C26" s="142" t="s">
        <v>210</v>
      </c>
    </row>
    <row r="27" spans="1:3" ht="14.5" customHeight="1">
      <c r="A27" s="130"/>
      <c r="B27" s="123" t="s">
        <v>211</v>
      </c>
      <c r="C27" s="142" t="s">
        <v>212</v>
      </c>
    </row>
    <row r="28" spans="1:3" ht="14.5" customHeight="1">
      <c r="A28" s="130"/>
      <c r="B28" s="123" t="s">
        <v>213</v>
      </c>
      <c r="C28" s="142" t="s">
        <v>214</v>
      </c>
    </row>
    <row r="29" spans="1:3" ht="14.5" customHeight="1">
      <c r="A29" s="130"/>
      <c r="B29" s="123" t="s">
        <v>215</v>
      </c>
      <c r="C29" s="142" t="s">
        <v>216</v>
      </c>
    </row>
    <row r="30" spans="1:3" ht="14.5" customHeight="1">
      <c r="A30" s="130"/>
      <c r="B30" s="123" t="s">
        <v>217</v>
      </c>
      <c r="C30" s="142" t="s">
        <v>218</v>
      </c>
    </row>
    <row r="31" spans="1:3" ht="14.5" customHeight="1">
      <c r="A31" s="130"/>
      <c r="B31" s="131"/>
      <c r="C31" s="144" t="s">
        <v>219</v>
      </c>
    </row>
    <row r="32" spans="1:3" ht="29" customHeight="1">
      <c r="A32" s="130"/>
      <c r="B32" s="132" t="s">
        <v>220</v>
      </c>
      <c r="C32" s="142" t="s">
        <v>221</v>
      </c>
    </row>
    <row r="33" spans="1:3" ht="29" customHeight="1">
      <c r="A33" s="130"/>
      <c r="B33" s="132" t="s">
        <v>222</v>
      </c>
      <c r="C33" s="142" t="s">
        <v>223</v>
      </c>
    </row>
    <row r="34" spans="1:3" ht="29" customHeight="1">
      <c r="A34" s="130"/>
      <c r="B34" s="132" t="s">
        <v>224</v>
      </c>
      <c r="C34" s="142" t="s">
        <v>225</v>
      </c>
    </row>
    <row r="35" spans="1:3" ht="29" customHeight="1">
      <c r="A35" s="130"/>
      <c r="B35" s="132" t="s">
        <v>226</v>
      </c>
      <c r="C35" s="142" t="s">
        <v>227</v>
      </c>
    </row>
    <row r="36" spans="1:3" ht="29" customHeight="1">
      <c r="A36" s="130"/>
      <c r="B36" s="132" t="s">
        <v>228</v>
      </c>
      <c r="C36" s="142" t="s">
        <v>229</v>
      </c>
    </row>
    <row r="37" spans="1:3" ht="29" customHeight="1">
      <c r="A37" s="130"/>
      <c r="B37" s="132" t="s">
        <v>230</v>
      </c>
      <c r="C37" s="142" t="s">
        <v>231</v>
      </c>
    </row>
    <row r="38" spans="1:3" ht="29" customHeight="1">
      <c r="A38" s="130"/>
      <c r="B38" s="132" t="s">
        <v>232</v>
      </c>
      <c r="C38" s="142" t="s">
        <v>233</v>
      </c>
    </row>
    <row r="39" spans="1:3" ht="29" customHeight="1">
      <c r="A39" s="133"/>
      <c r="B39" s="132" t="s">
        <v>234</v>
      </c>
      <c r="C39" s="143" t="s">
        <v>235</v>
      </c>
    </row>
    <row r="43" spans="1:3" ht="14.5" customHeight="1">
      <c r="A43" s="129" t="s">
        <v>264</v>
      </c>
      <c r="B43" s="123" t="s">
        <v>237</v>
      </c>
      <c r="C43" s="142" t="s">
        <v>192</v>
      </c>
    </row>
    <row r="44" spans="1:3" ht="14.5" customHeight="1">
      <c r="A44" s="130"/>
      <c r="B44" s="123" t="s">
        <v>238</v>
      </c>
      <c r="C44" s="142" t="s">
        <v>239</v>
      </c>
    </row>
    <row r="45" spans="1:3" ht="14.5" customHeight="1">
      <c r="A45" s="130"/>
      <c r="B45" s="123" t="s">
        <v>240</v>
      </c>
      <c r="C45" s="143" t="s">
        <v>241</v>
      </c>
    </row>
    <row r="46" spans="1:3" ht="14.5" customHeight="1">
      <c r="A46" s="130"/>
      <c r="B46" s="123" t="s">
        <v>242</v>
      </c>
      <c r="C46" s="142" t="s">
        <v>243</v>
      </c>
    </row>
    <row r="47" spans="1:3" ht="14.5" customHeight="1">
      <c r="A47" s="130"/>
      <c r="B47" s="123" t="s">
        <v>244</v>
      </c>
      <c r="C47" s="142" t="s">
        <v>245</v>
      </c>
    </row>
    <row r="48" spans="1:3" ht="14.5" customHeight="1">
      <c r="A48" s="130"/>
      <c r="B48" s="123" t="s">
        <v>246</v>
      </c>
      <c r="C48" s="142" t="s">
        <v>247</v>
      </c>
    </row>
    <row r="49" spans="1:3" ht="14.5" customHeight="1">
      <c r="A49" s="130"/>
      <c r="B49" s="123" t="s">
        <v>248</v>
      </c>
      <c r="C49" s="142" t="s">
        <v>249</v>
      </c>
    </row>
    <row r="50" spans="1:3" ht="14.5" customHeight="1">
      <c r="A50" s="130"/>
      <c r="B50" s="123" t="s">
        <v>250</v>
      </c>
      <c r="C50" s="142" t="s">
        <v>251</v>
      </c>
    </row>
    <row r="51" spans="1:3" ht="14.5" customHeight="1">
      <c r="A51" s="130"/>
      <c r="B51" s="123" t="s">
        <v>252</v>
      </c>
      <c r="C51" s="142" t="s">
        <v>253</v>
      </c>
    </row>
    <row r="52" spans="1:3" ht="14.5" customHeight="1">
      <c r="A52" s="130"/>
      <c r="B52" s="123" t="s">
        <v>254</v>
      </c>
      <c r="C52" s="142" t="s">
        <v>255</v>
      </c>
    </row>
    <row r="53" spans="1:3" ht="14.5" customHeight="1">
      <c r="A53" s="130"/>
      <c r="B53" s="123" t="s">
        <v>256</v>
      </c>
      <c r="C53" s="142" t="s">
        <v>257</v>
      </c>
    </row>
    <row r="54" spans="1:3" ht="14.5" customHeight="1">
      <c r="A54" s="130"/>
      <c r="B54" s="123" t="s">
        <v>258</v>
      </c>
      <c r="C54" s="142" t="s">
        <v>259</v>
      </c>
    </row>
    <row r="55" spans="1:3" ht="14.5" customHeight="1">
      <c r="A55" s="130"/>
      <c r="B55" s="123" t="s">
        <v>260</v>
      </c>
      <c r="C55" s="142" t="s">
        <v>261</v>
      </c>
    </row>
    <row r="56" spans="1:3" ht="14.5" customHeight="1">
      <c r="A56" s="130"/>
      <c r="B56" s="123" t="s">
        <v>262</v>
      </c>
      <c r="C56" s="142" t="s">
        <v>263</v>
      </c>
    </row>
    <row r="59" spans="1:3" ht="14.5" customHeight="1">
      <c r="A59" s="129" t="s">
        <v>297</v>
      </c>
      <c r="B59" s="123" t="s">
        <v>265</v>
      </c>
      <c r="C59" s="142" t="s">
        <v>266</v>
      </c>
    </row>
    <row r="60" spans="1:3" ht="14.5" customHeight="1">
      <c r="A60" s="130"/>
      <c r="B60" s="123" t="s">
        <v>267</v>
      </c>
      <c r="C60" s="142" t="s">
        <v>268</v>
      </c>
    </row>
    <row r="61" spans="1:3" ht="14.5" customHeight="1">
      <c r="A61" s="130"/>
      <c r="B61" s="123" t="s">
        <v>269</v>
      </c>
      <c r="C61" s="142" t="s">
        <v>270</v>
      </c>
    </row>
    <row r="62" spans="1:3" ht="14.5" customHeight="1">
      <c r="A62" s="130"/>
      <c r="B62" s="123" t="s">
        <v>271</v>
      </c>
      <c r="C62" s="142" t="s">
        <v>272</v>
      </c>
    </row>
    <row r="63" spans="1:3" ht="14.5" customHeight="1">
      <c r="A63" s="130"/>
      <c r="B63" s="123" t="s">
        <v>273</v>
      </c>
      <c r="C63" s="142" t="s">
        <v>274</v>
      </c>
    </row>
    <row r="64" spans="1:3" ht="14.5" customHeight="1">
      <c r="A64" s="130"/>
      <c r="B64" s="123" t="s">
        <v>275</v>
      </c>
      <c r="C64" s="142" t="s">
        <v>276</v>
      </c>
    </row>
    <row r="65" spans="1:3" ht="14.5" customHeight="1">
      <c r="A65" s="130"/>
      <c r="B65" s="123" t="s">
        <v>277</v>
      </c>
      <c r="C65" s="142" t="s">
        <v>278</v>
      </c>
    </row>
    <row r="66" spans="1:3" ht="14.5" customHeight="1">
      <c r="A66" s="130"/>
      <c r="B66" s="123" t="s">
        <v>279</v>
      </c>
      <c r="C66" s="142" t="s">
        <v>280</v>
      </c>
    </row>
    <row r="67" spans="1:3" ht="14.5" customHeight="1">
      <c r="A67" s="130"/>
      <c r="B67" s="123" t="s">
        <v>281</v>
      </c>
      <c r="C67" s="142" t="s">
        <v>282</v>
      </c>
    </row>
    <row r="68" spans="1:3" ht="14.5" customHeight="1">
      <c r="A68" s="130"/>
      <c r="B68" s="123" t="s">
        <v>283</v>
      </c>
      <c r="C68" s="142" t="s">
        <v>284</v>
      </c>
    </row>
    <row r="69" spans="1:3" ht="14.5" customHeight="1">
      <c r="A69" s="130"/>
      <c r="B69" s="123" t="s">
        <v>285</v>
      </c>
      <c r="C69" s="142" t="s">
        <v>286</v>
      </c>
    </row>
    <row r="70" spans="1:3" ht="14.5" customHeight="1">
      <c r="A70" s="130"/>
      <c r="B70" s="131"/>
      <c r="C70" s="144" t="s">
        <v>219</v>
      </c>
    </row>
    <row r="71" spans="1:3" ht="29" customHeight="1">
      <c r="A71" s="130"/>
      <c r="B71" s="132" t="s">
        <v>287</v>
      </c>
      <c r="C71" s="142" t="s">
        <v>221</v>
      </c>
    </row>
    <row r="72" spans="1:3" ht="29" customHeight="1">
      <c r="A72" s="130"/>
      <c r="B72" s="132" t="s">
        <v>288</v>
      </c>
      <c r="C72" s="142" t="s">
        <v>223</v>
      </c>
    </row>
    <row r="73" spans="1:3" ht="29" customHeight="1">
      <c r="A73" s="130"/>
      <c r="B73" s="132" t="s">
        <v>289</v>
      </c>
      <c r="C73" s="142" t="s">
        <v>225</v>
      </c>
    </row>
    <row r="74" spans="1:3" ht="29" customHeight="1">
      <c r="A74" s="130"/>
      <c r="B74" s="132" t="s">
        <v>290</v>
      </c>
      <c r="C74" s="142" t="s">
        <v>227</v>
      </c>
    </row>
    <row r="75" spans="1:3" ht="29" customHeight="1">
      <c r="A75" s="130"/>
      <c r="B75" s="132" t="s">
        <v>291</v>
      </c>
      <c r="C75" s="142" t="s">
        <v>229</v>
      </c>
    </row>
    <row r="76" spans="1:3" ht="29" customHeight="1">
      <c r="A76" s="130"/>
      <c r="B76" s="132" t="s">
        <v>292</v>
      </c>
      <c r="C76" s="142" t="s">
        <v>231</v>
      </c>
    </row>
    <row r="77" spans="1:3" ht="29" customHeight="1">
      <c r="A77" s="130"/>
      <c r="B77" s="132" t="s">
        <v>293</v>
      </c>
      <c r="C77" s="142" t="s">
        <v>233</v>
      </c>
    </row>
    <row r="78" spans="1:3" ht="29" customHeight="1">
      <c r="A78" s="133"/>
      <c r="B78" s="132" t="s">
        <v>294</v>
      </c>
      <c r="C78" s="143" t="s">
        <v>295</v>
      </c>
    </row>
    <row r="80" spans="1:3" ht="15.5" customHeight="1">
      <c r="A80" s="134" t="s">
        <v>296</v>
      </c>
      <c r="B80" s="123" t="s">
        <v>237</v>
      </c>
      <c r="C80" s="143" t="s">
        <v>192</v>
      </c>
    </row>
    <row r="81" spans="1:3" ht="15.5" customHeight="1">
      <c r="A81" s="135"/>
      <c r="B81" s="123" t="s">
        <v>238</v>
      </c>
      <c r="C81" s="143" t="s">
        <v>239</v>
      </c>
    </row>
    <row r="82" spans="1:3" ht="15.5" customHeight="1">
      <c r="A82" s="135"/>
      <c r="B82" s="123" t="s">
        <v>240</v>
      </c>
      <c r="C82" s="143" t="s">
        <v>241</v>
      </c>
    </row>
    <row r="83" spans="1:3" ht="15.5" customHeight="1">
      <c r="A83" s="135"/>
      <c r="B83" s="123" t="s">
        <v>242</v>
      </c>
      <c r="C83" s="143" t="s">
        <v>243</v>
      </c>
    </row>
    <row r="84" spans="1:3" ht="15.5" customHeight="1">
      <c r="A84" s="135"/>
      <c r="B84" s="123" t="s">
        <v>244</v>
      </c>
      <c r="C84" s="143" t="s">
        <v>245</v>
      </c>
    </row>
    <row r="85" spans="1:3" ht="15.5" customHeight="1">
      <c r="A85" s="135"/>
      <c r="B85" s="123" t="s">
        <v>246</v>
      </c>
      <c r="C85" s="143" t="s">
        <v>247</v>
      </c>
    </row>
    <row r="86" spans="1:3" ht="14.5" customHeight="1">
      <c r="A86" s="135"/>
      <c r="B86" s="123" t="s">
        <v>248</v>
      </c>
      <c r="C86" s="143" t="s">
        <v>249</v>
      </c>
    </row>
    <row r="87" spans="1:3" ht="14.5" customHeight="1">
      <c r="A87" s="135"/>
      <c r="B87" s="123" t="s">
        <v>250</v>
      </c>
      <c r="C87" s="143" t="s">
        <v>251</v>
      </c>
    </row>
    <row r="88" spans="1:3" ht="14.5" customHeight="1">
      <c r="A88" s="135"/>
      <c r="B88" s="123" t="s">
        <v>252</v>
      </c>
      <c r="C88" s="143" t="s">
        <v>253</v>
      </c>
    </row>
    <row r="89" spans="1:3" ht="14.5" customHeight="1">
      <c r="A89" s="135"/>
      <c r="B89" s="123" t="s">
        <v>254</v>
      </c>
      <c r="C89" s="143" t="s">
        <v>255</v>
      </c>
    </row>
    <row r="90" spans="1:3" ht="14.5" customHeight="1">
      <c r="A90" s="135"/>
      <c r="B90" s="123" t="s">
        <v>256</v>
      </c>
      <c r="C90" s="143" t="s">
        <v>257</v>
      </c>
    </row>
    <row r="91" spans="1:3" ht="14.5" customHeight="1">
      <c r="A91" s="135"/>
      <c r="B91" s="123" t="s">
        <v>258</v>
      </c>
      <c r="C91" s="143" t="s">
        <v>259</v>
      </c>
    </row>
    <row r="92" spans="1:3" ht="14.5" customHeight="1">
      <c r="A92" s="135"/>
      <c r="B92" s="123" t="s">
        <v>260</v>
      </c>
      <c r="C92" s="143" t="s">
        <v>261</v>
      </c>
    </row>
    <row r="93" spans="1:3" ht="14.5" customHeight="1">
      <c r="A93" s="135"/>
      <c r="B93" s="123" t="s">
        <v>262</v>
      </c>
      <c r="C93" s="143" t="s">
        <v>263</v>
      </c>
    </row>
    <row r="96" spans="1:3" ht="14.5" customHeight="1">
      <c r="A96" s="129" t="s">
        <v>312</v>
      </c>
      <c r="B96" s="136" t="s">
        <v>298</v>
      </c>
      <c r="C96" s="142" t="s">
        <v>299</v>
      </c>
    </row>
    <row r="97" spans="1:3" ht="14.5" customHeight="1">
      <c r="A97" s="130"/>
      <c r="B97" s="136" t="s">
        <v>300</v>
      </c>
      <c r="C97" s="142" t="s">
        <v>239</v>
      </c>
    </row>
    <row r="98" spans="1:3" ht="14.5" customHeight="1">
      <c r="A98" s="130"/>
      <c r="B98" s="136" t="s">
        <v>301</v>
      </c>
      <c r="C98" s="142" t="s">
        <v>241</v>
      </c>
    </row>
    <row r="99" spans="1:3" ht="14.5" customHeight="1">
      <c r="A99" s="130"/>
      <c r="B99" s="136" t="s">
        <v>302</v>
      </c>
      <c r="C99" s="142" t="s">
        <v>243</v>
      </c>
    </row>
    <row r="100" spans="1:3" ht="14.5" customHeight="1">
      <c r="A100" s="130"/>
      <c r="B100" s="136" t="s">
        <v>303</v>
      </c>
      <c r="C100" s="142" t="s">
        <v>304</v>
      </c>
    </row>
    <row r="101" spans="1:3" ht="14.5" customHeight="1">
      <c r="A101" s="130"/>
      <c r="B101" s="136" t="s">
        <v>305</v>
      </c>
      <c r="C101" s="142" t="s">
        <v>261</v>
      </c>
    </row>
    <row r="102" spans="1:3" ht="14.5" customHeight="1">
      <c r="A102" s="130"/>
      <c r="B102" s="136" t="s">
        <v>306</v>
      </c>
      <c r="C102" s="142" t="s">
        <v>251</v>
      </c>
    </row>
    <row r="103" spans="1:3" ht="14.5" customHeight="1">
      <c r="A103" s="130"/>
      <c r="B103" s="136" t="s">
        <v>307</v>
      </c>
      <c r="C103" s="142" t="s">
        <v>253</v>
      </c>
    </row>
    <row r="104" spans="1:3" ht="14.5" customHeight="1">
      <c r="A104" s="130"/>
      <c r="B104" s="136" t="s">
        <v>308</v>
      </c>
      <c r="C104" s="143" t="s">
        <v>259</v>
      </c>
    </row>
    <row r="105" spans="1:3" ht="14.5" customHeight="1">
      <c r="A105" s="130"/>
      <c r="B105" s="136" t="s">
        <v>309</v>
      </c>
      <c r="C105" s="142" t="s">
        <v>247</v>
      </c>
    </row>
    <row r="106" spans="1:3" ht="14.5" customHeight="1">
      <c r="A106" s="130"/>
      <c r="B106" s="136" t="s">
        <v>310</v>
      </c>
      <c r="C106" s="142" t="s">
        <v>249</v>
      </c>
    </row>
    <row r="107" spans="1:3" ht="14.5" customHeight="1">
      <c r="A107" s="130"/>
      <c r="B107" s="136" t="s">
        <v>311</v>
      </c>
      <c r="C107" s="143" t="s">
        <v>263</v>
      </c>
    </row>
    <row r="110" spans="1:3" ht="14.5" customHeight="1">
      <c r="A110" s="129" t="s">
        <v>345</v>
      </c>
      <c r="B110" s="136" t="s">
        <v>313</v>
      </c>
      <c r="C110" s="142" t="s">
        <v>299</v>
      </c>
    </row>
    <row r="111" spans="1:3" ht="14.5" customHeight="1">
      <c r="A111" s="130"/>
      <c r="B111" s="136" t="s">
        <v>314</v>
      </c>
      <c r="C111" s="142" t="s">
        <v>315</v>
      </c>
    </row>
    <row r="112" spans="1:3" ht="14.5" customHeight="1">
      <c r="A112" s="130"/>
      <c r="B112" s="136" t="s">
        <v>316</v>
      </c>
      <c r="C112" s="142" t="s">
        <v>317</v>
      </c>
    </row>
    <row r="113" spans="1:3" ht="14.5" customHeight="1">
      <c r="A113" s="130"/>
      <c r="B113" s="136" t="s">
        <v>318</v>
      </c>
      <c r="C113" s="142" t="s">
        <v>319</v>
      </c>
    </row>
    <row r="114" spans="1:3" ht="14.5" customHeight="1">
      <c r="A114" s="130"/>
      <c r="B114" s="136" t="s">
        <v>320</v>
      </c>
      <c r="C114" s="142" t="s">
        <v>321</v>
      </c>
    </row>
    <row r="115" spans="1:3" ht="14.5" customHeight="1">
      <c r="A115" s="130"/>
      <c r="B115" s="136" t="s">
        <v>322</v>
      </c>
      <c r="C115" s="142" t="s">
        <v>323</v>
      </c>
    </row>
    <row r="116" spans="1:3" ht="14.5" customHeight="1">
      <c r="A116" s="130"/>
      <c r="B116" s="136" t="s">
        <v>324</v>
      </c>
      <c r="C116" s="142" t="s">
        <v>286</v>
      </c>
    </row>
    <row r="117" spans="1:3" ht="14.5" customHeight="1">
      <c r="A117" s="130"/>
      <c r="B117" s="136" t="s">
        <v>325</v>
      </c>
      <c r="C117" s="142" t="s">
        <v>326</v>
      </c>
    </row>
    <row r="118" spans="1:3" ht="14.5" customHeight="1">
      <c r="A118" s="130"/>
      <c r="B118" s="136" t="s">
        <v>327</v>
      </c>
      <c r="C118" s="143" t="s">
        <v>328</v>
      </c>
    </row>
    <row r="119" spans="1:3" ht="14.5" customHeight="1">
      <c r="A119" s="130"/>
      <c r="B119" s="136" t="s">
        <v>329</v>
      </c>
      <c r="C119" s="142" t="s">
        <v>330</v>
      </c>
    </row>
    <row r="120" spans="1:3" ht="14.5" customHeight="1">
      <c r="A120" s="130"/>
      <c r="B120" s="136" t="s">
        <v>331</v>
      </c>
      <c r="C120" s="142" t="s">
        <v>332</v>
      </c>
    </row>
    <row r="121" spans="1:3" ht="14.5" customHeight="1">
      <c r="A121" s="130"/>
      <c r="B121" s="136" t="s">
        <v>333</v>
      </c>
      <c r="C121" s="143" t="s">
        <v>334</v>
      </c>
    </row>
    <row r="122" spans="1:3" ht="14.5" customHeight="1">
      <c r="A122" s="130"/>
      <c r="B122" s="136" t="s">
        <v>335</v>
      </c>
      <c r="C122" s="142" t="s">
        <v>336</v>
      </c>
    </row>
    <row r="123" spans="1:3" ht="14.5" customHeight="1">
      <c r="A123" s="130"/>
      <c r="B123" s="131"/>
      <c r="C123" s="144" t="s">
        <v>219</v>
      </c>
    </row>
    <row r="124" spans="1:3" ht="46.5" customHeight="1">
      <c r="A124" s="130"/>
      <c r="B124" s="137" t="s">
        <v>337</v>
      </c>
      <c r="C124" s="142" t="s">
        <v>221</v>
      </c>
    </row>
    <row r="125" spans="1:3" ht="46.5" customHeight="1">
      <c r="A125" s="130"/>
      <c r="B125" s="137" t="s">
        <v>338</v>
      </c>
      <c r="C125" s="142" t="s">
        <v>223</v>
      </c>
    </row>
    <row r="126" spans="1:3" ht="46.5" customHeight="1">
      <c r="A126" s="130"/>
      <c r="B126" s="137" t="s">
        <v>339</v>
      </c>
      <c r="C126" s="142" t="s">
        <v>225</v>
      </c>
    </row>
    <row r="127" spans="1:3" ht="46.5" customHeight="1">
      <c r="A127" s="130"/>
      <c r="B127" s="137" t="s">
        <v>340</v>
      </c>
      <c r="C127" s="142" t="s">
        <v>227</v>
      </c>
    </row>
    <row r="128" spans="1:3" ht="46.5" customHeight="1">
      <c r="A128" s="130"/>
      <c r="B128" s="137" t="s">
        <v>341</v>
      </c>
      <c r="C128" s="142" t="s">
        <v>229</v>
      </c>
    </row>
    <row r="129" spans="1:3" ht="46.5" customHeight="1">
      <c r="A129" s="130"/>
      <c r="B129" s="137" t="s">
        <v>342</v>
      </c>
      <c r="C129" s="142" t="s">
        <v>231</v>
      </c>
    </row>
    <row r="130" spans="1:3" ht="46.5" customHeight="1">
      <c r="A130" s="130"/>
      <c r="B130" s="137" t="s">
        <v>343</v>
      </c>
      <c r="C130" s="142" t="s">
        <v>233</v>
      </c>
    </row>
    <row r="131" spans="1:3" ht="46.5" customHeight="1">
      <c r="A131" s="133"/>
      <c r="B131" s="137" t="s">
        <v>344</v>
      </c>
      <c r="C131" s="143" t="s">
        <v>235</v>
      </c>
    </row>
  </sheetData>
  <mergeCells count="8">
    <mergeCell ref="A110:A131"/>
    <mergeCell ref="A80:A93"/>
    <mergeCell ref="A96:A107"/>
    <mergeCell ref="A59:A78"/>
    <mergeCell ref="A43:A56"/>
    <mergeCell ref="A17:A39"/>
    <mergeCell ref="A2:A5"/>
    <mergeCell ref="A8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D1:V57"/>
  <sheetViews>
    <sheetView topLeftCell="C40" workbookViewId="0">
      <selection activeCell="F15" sqref="F15:K15"/>
    </sheetView>
  </sheetViews>
  <sheetFormatPr baseColWidth="10" defaultRowHeight="14.5"/>
  <cols>
    <col min="1" max="1" width="14.36328125" customWidth="1"/>
    <col min="2" max="2" width="12.7265625" customWidth="1"/>
    <col min="3" max="3" width="2.54296875" customWidth="1"/>
    <col min="5" max="5" width="6.81640625" customWidth="1"/>
    <col min="6" max="6" width="49" customWidth="1"/>
    <col min="7" max="7" width="14.453125" customWidth="1"/>
    <col min="8" max="8" width="15.81640625" customWidth="1"/>
    <col min="9" max="9" width="14.453125" customWidth="1"/>
    <col min="10" max="10" width="8.54296875" customWidth="1"/>
    <col min="11" max="11" width="5" customWidth="1"/>
    <col min="12" max="13" width="13.81640625" customWidth="1"/>
    <col min="15" max="15" width="11.453125" hidden="1" customWidth="1"/>
    <col min="16" max="16" width="12.26953125" hidden="1" customWidth="1"/>
    <col min="17" max="22" width="11.453125" hidden="1" customWidth="1"/>
  </cols>
  <sheetData>
    <row r="1" spans="4:14">
      <c r="D1" s="5"/>
      <c r="E1" s="6"/>
      <c r="F1" s="7" t="s">
        <v>24</v>
      </c>
      <c r="G1" s="8"/>
      <c r="H1" s="9"/>
      <c r="I1" s="7" t="s">
        <v>25</v>
      </c>
      <c r="J1" s="8"/>
      <c r="K1" s="8"/>
      <c r="L1" s="9"/>
      <c r="M1" s="10"/>
    </row>
    <row r="2" spans="4:14" ht="13.5" customHeight="1" thickBot="1">
      <c r="D2" s="11"/>
      <c r="E2" s="12"/>
      <c r="F2" s="13"/>
      <c r="G2" s="14"/>
      <c r="H2" s="15"/>
      <c r="I2" s="16" t="s">
        <v>26</v>
      </c>
      <c r="J2" s="17"/>
      <c r="K2" s="17"/>
      <c r="L2" s="18"/>
      <c r="M2" s="19"/>
    </row>
    <row r="3" spans="4:14">
      <c r="D3" s="11"/>
      <c r="E3" s="12"/>
      <c r="F3" s="7" t="s">
        <v>27</v>
      </c>
      <c r="G3" s="8"/>
      <c r="H3" s="9"/>
      <c r="I3" s="20" t="s">
        <v>28</v>
      </c>
      <c r="J3" s="21"/>
      <c r="K3" s="21"/>
      <c r="L3" s="22"/>
      <c r="M3" s="10"/>
    </row>
    <row r="4" spans="4:14" ht="15" thickBot="1">
      <c r="D4" s="23"/>
      <c r="E4" s="24"/>
      <c r="F4" s="13"/>
      <c r="G4" s="14"/>
      <c r="H4" s="15"/>
      <c r="I4" s="16"/>
      <c r="J4" s="17"/>
      <c r="K4" s="17"/>
      <c r="L4" s="18"/>
      <c r="M4" s="10"/>
    </row>
    <row r="6" spans="4:14" ht="15" thickBot="1"/>
    <row r="7" spans="4:14">
      <c r="E7" s="25" t="s">
        <v>29</v>
      </c>
      <c r="F7" s="26" t="s">
        <v>30</v>
      </c>
      <c r="G7" s="26"/>
      <c r="H7" s="26"/>
      <c r="I7" s="26"/>
      <c r="J7" s="26"/>
      <c r="K7" s="26"/>
      <c r="L7" s="27" t="s">
        <v>31</v>
      </c>
      <c r="M7" s="27" t="s">
        <v>32</v>
      </c>
      <c r="N7" s="28"/>
    </row>
    <row r="8" spans="4:14">
      <c r="E8" s="29" t="s">
        <v>33</v>
      </c>
      <c r="F8" s="30"/>
      <c r="G8" s="30"/>
      <c r="H8" s="30"/>
      <c r="I8" s="30"/>
      <c r="J8" s="30"/>
      <c r="K8" s="30"/>
      <c r="L8" s="31"/>
      <c r="M8" s="32"/>
      <c r="N8" s="28"/>
    </row>
    <row r="9" spans="4:14" ht="33" customHeight="1">
      <c r="E9" s="33" t="s">
        <v>34</v>
      </c>
      <c r="F9" s="34" t="s">
        <v>35</v>
      </c>
      <c r="G9" s="34"/>
      <c r="H9" s="34"/>
      <c r="I9" s="34"/>
      <c r="J9" s="34"/>
      <c r="K9" s="34"/>
      <c r="L9" s="35" t="s">
        <v>36</v>
      </c>
      <c r="M9" s="36">
        <f>IF(OR(L9="N/A", L9=""), "", IF(L9="Sí", 1, IF(L9="Parcialmente", 0.5, IF(L9="No", 0, 0))))</f>
        <v>1</v>
      </c>
      <c r="N9" s="28"/>
    </row>
    <row r="10" spans="4:14" ht="33" customHeight="1">
      <c r="E10" s="33" t="s">
        <v>37</v>
      </c>
      <c r="F10" s="34" t="s">
        <v>38</v>
      </c>
      <c r="G10" s="34"/>
      <c r="H10" s="34"/>
      <c r="I10" s="34"/>
      <c r="J10" s="34"/>
      <c r="K10" s="34"/>
      <c r="L10" s="35" t="s">
        <v>39</v>
      </c>
      <c r="M10" s="36">
        <f t="shared" ref="M10:M32" si="0">IF(OR(L10="N/A", L10=""), "", IF(L10="Sí", 1, IF(L10="Parcialmente", 0.5, IF(L10="No", 0, 0))))</f>
        <v>0</v>
      </c>
      <c r="N10" s="37"/>
    </row>
    <row r="11" spans="4:14" ht="33" customHeight="1">
      <c r="E11" s="33" t="s">
        <v>40</v>
      </c>
      <c r="F11" s="34" t="s">
        <v>41</v>
      </c>
      <c r="G11" s="34"/>
      <c r="H11" s="34"/>
      <c r="I11" s="34"/>
      <c r="J11" s="34"/>
      <c r="K11" s="34"/>
      <c r="L11" s="35" t="s">
        <v>36</v>
      </c>
      <c r="M11" s="36">
        <f t="shared" si="0"/>
        <v>1</v>
      </c>
      <c r="N11" s="28"/>
    </row>
    <row r="12" spans="4:14" ht="33" customHeight="1">
      <c r="E12" s="38" t="s">
        <v>42</v>
      </c>
      <c r="F12" s="34"/>
      <c r="G12" s="34"/>
      <c r="H12" s="34"/>
      <c r="I12" s="34"/>
      <c r="J12" s="34"/>
      <c r="K12" s="34"/>
      <c r="L12" s="39"/>
      <c r="M12" s="40" t="str">
        <f t="shared" si="0"/>
        <v/>
      </c>
      <c r="N12" s="28"/>
    </row>
    <row r="13" spans="4:14" ht="33" customHeight="1">
      <c r="E13" s="33" t="s">
        <v>43</v>
      </c>
      <c r="F13" s="34" t="s">
        <v>44</v>
      </c>
      <c r="G13" s="34"/>
      <c r="H13" s="34"/>
      <c r="I13" s="34"/>
      <c r="J13" s="34"/>
      <c r="K13" s="34"/>
      <c r="L13" s="35" t="s">
        <v>36</v>
      </c>
      <c r="M13" s="36">
        <f t="shared" si="0"/>
        <v>1</v>
      </c>
      <c r="N13" s="37"/>
    </row>
    <row r="14" spans="4:14" ht="33" customHeight="1">
      <c r="E14" s="33" t="s">
        <v>45</v>
      </c>
      <c r="F14" s="34" t="s">
        <v>46</v>
      </c>
      <c r="G14" s="34"/>
      <c r="H14" s="34"/>
      <c r="I14" s="34"/>
      <c r="J14" s="34"/>
      <c r="K14" s="34"/>
      <c r="L14" s="35" t="s">
        <v>36</v>
      </c>
      <c r="M14" s="36">
        <f t="shared" si="0"/>
        <v>1</v>
      </c>
      <c r="N14" s="37"/>
    </row>
    <row r="15" spans="4:14" ht="33" customHeight="1">
      <c r="E15" s="33" t="s">
        <v>47</v>
      </c>
      <c r="F15" s="34" t="s">
        <v>48</v>
      </c>
      <c r="G15" s="34"/>
      <c r="H15" s="34"/>
      <c r="I15" s="34"/>
      <c r="J15" s="34"/>
      <c r="K15" s="34"/>
      <c r="L15" s="35" t="s">
        <v>39</v>
      </c>
      <c r="M15" s="36">
        <f t="shared" si="0"/>
        <v>0</v>
      </c>
      <c r="N15" s="37"/>
    </row>
    <row r="16" spans="4:14" ht="33" customHeight="1">
      <c r="E16" s="38" t="s">
        <v>49</v>
      </c>
      <c r="F16" s="34"/>
      <c r="G16" s="34"/>
      <c r="H16" s="34"/>
      <c r="I16" s="34"/>
      <c r="J16" s="34"/>
      <c r="K16" s="34"/>
      <c r="L16" s="39"/>
      <c r="M16" s="40" t="str">
        <f t="shared" si="0"/>
        <v/>
      </c>
      <c r="N16" s="37"/>
    </row>
    <row r="17" spans="5:14" ht="33" customHeight="1">
      <c r="E17" s="33" t="s">
        <v>50</v>
      </c>
      <c r="F17" s="34" t="s">
        <v>51</v>
      </c>
      <c r="G17" s="34"/>
      <c r="H17" s="34"/>
      <c r="I17" s="34"/>
      <c r="J17" s="34"/>
      <c r="K17" s="34"/>
      <c r="L17" s="35" t="s">
        <v>39</v>
      </c>
      <c r="M17" s="36">
        <f t="shared" si="0"/>
        <v>0</v>
      </c>
      <c r="N17" s="37"/>
    </row>
    <row r="18" spans="5:14" ht="33" customHeight="1">
      <c r="E18" s="33" t="s">
        <v>52</v>
      </c>
      <c r="F18" s="34" t="s">
        <v>53</v>
      </c>
      <c r="G18" s="34"/>
      <c r="H18" s="34"/>
      <c r="I18" s="34"/>
      <c r="J18" s="34"/>
      <c r="K18" s="34"/>
      <c r="L18" s="35" t="s">
        <v>36</v>
      </c>
      <c r="M18" s="36">
        <f t="shared" si="0"/>
        <v>1</v>
      </c>
      <c r="N18" s="37"/>
    </row>
    <row r="19" spans="5:14" ht="33" customHeight="1">
      <c r="E19" s="33" t="s">
        <v>54</v>
      </c>
      <c r="F19" s="34" t="s">
        <v>55</v>
      </c>
      <c r="G19" s="34"/>
      <c r="H19" s="34"/>
      <c r="I19" s="34"/>
      <c r="J19" s="34"/>
      <c r="K19" s="34"/>
      <c r="L19" s="35" t="s">
        <v>36</v>
      </c>
      <c r="M19" s="36">
        <f t="shared" si="0"/>
        <v>1</v>
      </c>
      <c r="N19" s="37"/>
    </row>
    <row r="20" spans="5:14" ht="33" customHeight="1">
      <c r="E20" s="33" t="s">
        <v>56</v>
      </c>
      <c r="F20" s="34" t="s">
        <v>57</v>
      </c>
      <c r="G20" s="34"/>
      <c r="H20" s="34"/>
      <c r="I20" s="34"/>
      <c r="J20" s="34"/>
      <c r="K20" s="34"/>
      <c r="L20" s="35" t="s">
        <v>36</v>
      </c>
      <c r="M20" s="36">
        <f t="shared" si="0"/>
        <v>1</v>
      </c>
      <c r="N20" s="28"/>
    </row>
    <row r="21" spans="5:14" ht="33" customHeight="1">
      <c r="E21" s="33" t="s">
        <v>58</v>
      </c>
      <c r="F21" s="34" t="s">
        <v>59</v>
      </c>
      <c r="G21" s="34"/>
      <c r="H21" s="34"/>
      <c r="I21" s="34"/>
      <c r="J21" s="34"/>
      <c r="K21" s="34"/>
      <c r="L21" s="35" t="s">
        <v>36</v>
      </c>
      <c r="M21" s="36">
        <f t="shared" si="0"/>
        <v>1</v>
      </c>
      <c r="N21" s="28"/>
    </row>
    <row r="22" spans="5:14" ht="33" customHeight="1">
      <c r="E22" s="38" t="s">
        <v>60</v>
      </c>
      <c r="F22" s="34"/>
      <c r="G22" s="34"/>
      <c r="H22" s="34"/>
      <c r="I22" s="34"/>
      <c r="J22" s="34"/>
      <c r="K22" s="34"/>
      <c r="L22" s="39"/>
      <c r="M22" s="40" t="str">
        <f t="shared" si="0"/>
        <v/>
      </c>
      <c r="N22" s="28"/>
    </row>
    <row r="23" spans="5:14" ht="33" customHeight="1">
      <c r="E23" s="33" t="s">
        <v>61</v>
      </c>
      <c r="F23" s="34" t="s">
        <v>62</v>
      </c>
      <c r="G23" s="34"/>
      <c r="H23" s="34"/>
      <c r="I23" s="34"/>
      <c r="J23" s="34"/>
      <c r="K23" s="34"/>
      <c r="L23" s="35" t="s">
        <v>39</v>
      </c>
      <c r="M23" s="36">
        <f t="shared" si="0"/>
        <v>0</v>
      </c>
      <c r="N23" s="37"/>
    </row>
    <row r="24" spans="5:14" ht="33" customHeight="1">
      <c r="E24" s="33" t="s">
        <v>63</v>
      </c>
      <c r="F24" s="34" t="s">
        <v>64</v>
      </c>
      <c r="G24" s="34"/>
      <c r="H24" s="34"/>
      <c r="I24" s="34"/>
      <c r="J24" s="34"/>
      <c r="K24" s="34"/>
      <c r="L24" s="35" t="s">
        <v>36</v>
      </c>
      <c r="M24" s="36">
        <f t="shared" si="0"/>
        <v>1</v>
      </c>
      <c r="N24" s="28"/>
    </row>
    <row r="25" spans="5:14" ht="33" customHeight="1">
      <c r="E25" s="33" t="s">
        <v>65</v>
      </c>
      <c r="F25" s="34" t="s">
        <v>66</v>
      </c>
      <c r="G25" s="34"/>
      <c r="H25" s="34"/>
      <c r="I25" s="34"/>
      <c r="J25" s="34"/>
      <c r="K25" s="34"/>
      <c r="L25" s="35" t="s">
        <v>39</v>
      </c>
      <c r="M25" s="36">
        <f t="shared" si="0"/>
        <v>0</v>
      </c>
    </row>
    <row r="26" spans="5:14" ht="33" customHeight="1">
      <c r="E26" s="33" t="s">
        <v>67</v>
      </c>
      <c r="F26" s="34" t="s">
        <v>68</v>
      </c>
      <c r="G26" s="34"/>
      <c r="H26" s="34"/>
      <c r="I26" s="34"/>
      <c r="J26" s="34"/>
      <c r="K26" s="34"/>
      <c r="L26" s="35" t="s">
        <v>39</v>
      </c>
      <c r="M26" s="36">
        <f t="shared" si="0"/>
        <v>0</v>
      </c>
    </row>
    <row r="27" spans="5:14" ht="33" customHeight="1">
      <c r="E27" s="38" t="s">
        <v>69</v>
      </c>
      <c r="F27" s="34"/>
      <c r="G27" s="34"/>
      <c r="H27" s="34"/>
      <c r="I27" s="34"/>
      <c r="J27" s="34"/>
      <c r="K27" s="34"/>
      <c r="L27" s="39"/>
      <c r="M27" s="40" t="str">
        <f t="shared" si="0"/>
        <v/>
      </c>
    </row>
    <row r="28" spans="5:14" ht="33" customHeight="1">
      <c r="E28" s="33" t="s">
        <v>70</v>
      </c>
      <c r="F28" s="34" t="s">
        <v>71</v>
      </c>
      <c r="G28" s="34"/>
      <c r="H28" s="34"/>
      <c r="I28" s="34"/>
      <c r="J28" s="34"/>
      <c r="K28" s="34"/>
      <c r="L28" s="35" t="s">
        <v>39</v>
      </c>
      <c r="M28" s="36">
        <f t="shared" si="0"/>
        <v>0</v>
      </c>
      <c r="N28" s="28"/>
    </row>
    <row r="29" spans="5:14" ht="33" customHeight="1">
      <c r="E29" s="33" t="s">
        <v>72</v>
      </c>
      <c r="F29" s="34" t="s">
        <v>73</v>
      </c>
      <c r="G29" s="34"/>
      <c r="H29" s="34"/>
      <c r="I29" s="34"/>
      <c r="J29" s="34"/>
      <c r="K29" s="34"/>
      <c r="L29" s="35" t="s">
        <v>36</v>
      </c>
      <c r="M29" s="36">
        <f>IF(OR(L29="N/A", L29=""), "", IF(L29="Sí", 1, IF(L29="Parcialmente", 0.5, IF(L29="No", 0, 0))))</f>
        <v>1</v>
      </c>
      <c r="N29" s="28"/>
    </row>
    <row r="30" spans="5:14" ht="33" customHeight="1">
      <c r="E30" s="33" t="s">
        <v>74</v>
      </c>
      <c r="F30" s="34" t="s">
        <v>75</v>
      </c>
      <c r="G30" s="34"/>
      <c r="H30" s="34"/>
      <c r="I30" s="34"/>
      <c r="J30" s="34"/>
      <c r="K30" s="34"/>
      <c r="L30" s="35" t="s">
        <v>36</v>
      </c>
      <c r="M30" s="36">
        <f>IF(OR(L30="N/A", L30=""), "", IF(L30="Sí", 1, IF(L30="Parcialmente", 0.5, IF(L30="No", 0, 0))))</f>
        <v>1</v>
      </c>
      <c r="N30" s="28"/>
    </row>
    <row r="31" spans="5:14" ht="33" customHeight="1">
      <c r="E31" s="33" t="s">
        <v>76</v>
      </c>
      <c r="F31" s="34" t="s">
        <v>77</v>
      </c>
      <c r="G31" s="34"/>
      <c r="H31" s="34"/>
      <c r="I31" s="34"/>
      <c r="J31" s="34"/>
      <c r="K31" s="34"/>
      <c r="L31" s="35" t="s">
        <v>39</v>
      </c>
      <c r="M31" s="36">
        <f t="shared" si="0"/>
        <v>0</v>
      </c>
      <c r="N31" s="28"/>
    </row>
    <row r="32" spans="5:14" ht="33" customHeight="1" thickBot="1">
      <c r="E32" s="41" t="s">
        <v>78</v>
      </c>
      <c r="F32" s="42" t="s">
        <v>79</v>
      </c>
      <c r="G32" s="42"/>
      <c r="H32" s="42"/>
      <c r="I32" s="42"/>
      <c r="J32" s="42"/>
      <c r="K32" s="42"/>
      <c r="L32" s="43" t="s">
        <v>36</v>
      </c>
      <c r="M32" s="44">
        <f t="shared" si="0"/>
        <v>1</v>
      </c>
      <c r="N32" s="28"/>
    </row>
    <row r="34" spans="5:21" ht="15" thickBot="1"/>
    <row r="35" spans="5:21" ht="48" customHeight="1" thickBot="1">
      <c r="E35" s="45" t="s">
        <v>80</v>
      </c>
      <c r="F35" s="46" t="s">
        <v>81</v>
      </c>
      <c r="G35" s="47" t="s">
        <v>82</v>
      </c>
      <c r="H35" s="48" t="s">
        <v>83</v>
      </c>
      <c r="I35" s="49" t="s">
        <v>84</v>
      </c>
    </row>
    <row r="36" spans="5:21" ht="15" thickBot="1">
      <c r="E36" s="50">
        <v>35</v>
      </c>
      <c r="F36" s="51" t="s">
        <v>85</v>
      </c>
      <c r="G36" s="52">
        <v>0.2</v>
      </c>
      <c r="H36" s="53">
        <f>IFERROR(AVERAGE(M9:M11), 0)</f>
        <v>0.66666666666666663</v>
      </c>
      <c r="I36" s="54">
        <f>G36*H36</f>
        <v>0.13333333333333333</v>
      </c>
    </row>
    <row r="37" spans="5:21" ht="15" thickBot="1">
      <c r="E37" s="50">
        <v>36</v>
      </c>
      <c r="F37" s="51" t="s">
        <v>86</v>
      </c>
      <c r="G37" s="52">
        <v>0.15</v>
      </c>
      <c r="H37" s="53">
        <f>IFERROR(AVERAGE(M13:M15), 0)</f>
        <v>0.66666666666666663</v>
      </c>
      <c r="I37" s="54">
        <f>G37*H37</f>
        <v>9.9999999999999992E-2</v>
      </c>
    </row>
    <row r="38" spans="5:21" ht="15" thickBot="1">
      <c r="E38" s="50">
        <v>37</v>
      </c>
      <c r="F38" s="51" t="s">
        <v>87</v>
      </c>
      <c r="G38" s="52">
        <v>0.25</v>
      </c>
      <c r="H38" s="53">
        <f>IFERROR(AVERAGE(M17:M21), 0)</f>
        <v>0.8</v>
      </c>
      <c r="I38" s="54">
        <f>G38*H38</f>
        <v>0.2</v>
      </c>
    </row>
    <row r="39" spans="5:21" ht="15" thickBot="1">
      <c r="E39" s="50">
        <v>38</v>
      </c>
      <c r="F39" s="51" t="s">
        <v>88</v>
      </c>
      <c r="G39" s="52">
        <v>0.2</v>
      </c>
      <c r="H39" s="53">
        <f>IFERROR(AVERAGE(M23:M26), 0)</f>
        <v>0.25</v>
      </c>
      <c r="I39" s="54">
        <f>G39*H39</f>
        <v>0.05</v>
      </c>
    </row>
    <row r="40" spans="5:21" ht="15" thickBot="1">
      <c r="E40" s="50">
        <v>39</v>
      </c>
      <c r="F40" s="51" t="s">
        <v>89</v>
      </c>
      <c r="G40" s="52">
        <v>0.2</v>
      </c>
      <c r="H40" s="53">
        <f>IFERROR(AVERAGE(M28:M32), 0)</f>
        <v>0.6</v>
      </c>
      <c r="I40" s="54">
        <f>G40*H40</f>
        <v>0.12</v>
      </c>
    </row>
    <row r="41" spans="5:21" ht="15" thickBot="1">
      <c r="E41" s="55">
        <v>40</v>
      </c>
      <c r="F41" s="56" t="s">
        <v>90</v>
      </c>
      <c r="G41" s="57">
        <v>1</v>
      </c>
      <c r="H41" s="58">
        <f>AVERAGE(H36:H40)</f>
        <v>0.59666666666666668</v>
      </c>
      <c r="I41" s="59">
        <f>SUM(I36:I40)</f>
        <v>0.60333333333333328</v>
      </c>
    </row>
    <row r="42" spans="5:21">
      <c r="F42" s="60"/>
    </row>
    <row r="44" spans="5:21">
      <c r="E44" s="61" t="s">
        <v>91</v>
      </c>
      <c r="F44" s="62"/>
      <c r="H44" s="63" t="str">
        <f>IF(L65=0,"",IF(L65&gt;=0.8,"RIESGO BAJO",IF(I41&gt;=0.6,"RIESGO MEDIO","RIESGO ALTO")))</f>
        <v/>
      </c>
      <c r="I44" s="63"/>
    </row>
    <row r="45" spans="5:21" ht="15" thickBot="1"/>
    <row r="46" spans="5:21" ht="22.5" customHeight="1">
      <c r="E46" s="64" t="s">
        <v>92</v>
      </c>
      <c r="F46" s="65"/>
      <c r="G46" s="65"/>
      <c r="H46" s="65"/>
      <c r="I46" s="65"/>
      <c r="J46" s="65"/>
      <c r="K46" s="65"/>
      <c r="L46" s="65"/>
      <c r="M46" s="66"/>
      <c r="O46" t="s">
        <v>93</v>
      </c>
      <c r="P46" t="s">
        <v>94</v>
      </c>
    </row>
    <row r="47" spans="5:21">
      <c r="E47" s="67" t="s">
        <v>95</v>
      </c>
      <c r="F47" s="68" t="str">
        <f>IF(P47&lt;(O47/2),E8&amp;" - No cumple el promedio Requerido","")</f>
        <v/>
      </c>
      <c r="G47" s="69"/>
      <c r="H47" s="69"/>
      <c r="I47" s="69"/>
      <c r="J47" s="69"/>
      <c r="K47" s="69"/>
      <c r="L47" s="69"/>
      <c r="M47" s="70"/>
      <c r="O47">
        <f>COUNTA(F9:K11)</f>
        <v>3</v>
      </c>
      <c r="P47">
        <f>SUM(M9:M11)</f>
        <v>2</v>
      </c>
      <c r="R47" t="str">
        <f>IF(S47=1,COUNT($S$47:S47),"")</f>
        <v/>
      </c>
      <c r="S47" t="str">
        <f>IF(F47="","",1)</f>
        <v/>
      </c>
      <c r="T47" t="str">
        <f>IF($S47="","",F47)</f>
        <v/>
      </c>
      <c r="U47" t="str">
        <f>IF($S47="","",IF(G47="","",G47))</f>
        <v/>
      </c>
    </row>
    <row r="48" spans="5:21">
      <c r="E48" s="67" t="s">
        <v>96</v>
      </c>
      <c r="F48" s="68" t="str">
        <f>IF(P48&lt;(O48/2),E12&amp;" - No cumple el promedio Requerido","")</f>
        <v/>
      </c>
      <c r="G48" s="71"/>
      <c r="H48" s="72"/>
      <c r="I48" s="72"/>
      <c r="J48" s="72"/>
      <c r="K48" s="72"/>
      <c r="L48" s="72"/>
      <c r="M48" s="73"/>
      <c r="O48">
        <f>COUNTA(F13:K15)</f>
        <v>3</v>
      </c>
      <c r="P48">
        <f>SUM(M13:M15)</f>
        <v>2</v>
      </c>
      <c r="R48" t="str">
        <f>IF(S48=1,COUNT($S$47:S48),"")</f>
        <v/>
      </c>
      <c r="S48" t="str">
        <f t="shared" ref="S48:S52" si="1">IF(F48="","",1)</f>
        <v/>
      </c>
      <c r="T48" t="str">
        <f t="shared" ref="T48:T51" si="2">IF($S48="","",F48)</f>
        <v/>
      </c>
      <c r="U48" t="str">
        <f t="shared" ref="U48:U51" si="3">IF($S48="","",IF(G48="","",G48))</f>
        <v/>
      </c>
    </row>
    <row r="49" spans="5:21">
      <c r="E49" s="67" t="s">
        <v>97</v>
      </c>
      <c r="F49" s="68" t="str">
        <f>IF(P49&lt;(O49/2),E16&amp;" - C47No cumple el promedio Requerido","")</f>
        <v/>
      </c>
      <c r="G49" s="71"/>
      <c r="H49" s="72"/>
      <c r="I49" s="72"/>
      <c r="J49" s="72"/>
      <c r="K49" s="72"/>
      <c r="L49" s="72"/>
      <c r="M49" s="73"/>
      <c r="O49">
        <f>COUNTA(F17:K21)</f>
        <v>5</v>
      </c>
      <c r="P49">
        <f>SUM(M17:M21)</f>
        <v>4</v>
      </c>
      <c r="R49" t="str">
        <f>IF(S49=1,COUNT($S$47:S49),"")</f>
        <v/>
      </c>
      <c r="S49" t="str">
        <f t="shared" si="1"/>
        <v/>
      </c>
      <c r="T49" t="str">
        <f t="shared" si="2"/>
        <v/>
      </c>
      <c r="U49" t="str">
        <f t="shared" si="3"/>
        <v/>
      </c>
    </row>
    <row r="50" spans="5:21">
      <c r="E50" s="67" t="s">
        <v>98</v>
      </c>
      <c r="F50" s="68" t="str">
        <f>IF(P50&lt;(O50/2),E22&amp;" - No cumple el promedio Requerido","")</f>
        <v>IV. VIGILANCIA, FORMACIÓN Y EPP - No cumple el promedio Requerido</v>
      </c>
      <c r="G50" s="71"/>
      <c r="H50" s="72"/>
      <c r="I50" s="72"/>
      <c r="J50" s="72"/>
      <c r="K50" s="72"/>
      <c r="L50" s="72"/>
      <c r="M50" s="73"/>
      <c r="O50">
        <f>COUNTA(F23:K26)</f>
        <v>4</v>
      </c>
      <c r="P50">
        <f>SUM(M23:M26)</f>
        <v>1</v>
      </c>
      <c r="R50">
        <f>IF(S50=1,COUNT($S$47:S50),"")</f>
        <v>1</v>
      </c>
      <c r="S50">
        <f t="shared" si="1"/>
        <v>1</v>
      </c>
      <c r="T50" t="str">
        <f t="shared" si="2"/>
        <v>IV. VIGILANCIA, FORMACIÓN Y EPP - No cumple el promedio Requerido</v>
      </c>
      <c r="U50" t="str">
        <f t="shared" si="3"/>
        <v/>
      </c>
    </row>
    <row r="51" spans="5:21" ht="15" thickBot="1">
      <c r="E51" s="74" t="s">
        <v>99</v>
      </c>
      <c r="F51" s="75" t="str">
        <f>IF(P51&lt;(O51/2),E27&amp;" - No cumple el promedio Requerido","")</f>
        <v/>
      </c>
      <c r="G51" s="76"/>
      <c r="H51" s="77"/>
      <c r="I51" s="77"/>
      <c r="J51" s="77"/>
      <c r="K51" s="77"/>
      <c r="L51" s="77"/>
      <c r="M51" s="78"/>
      <c r="O51">
        <f>COUNTA(F28:K32)</f>
        <v>5</v>
      </c>
      <c r="P51">
        <f>SUM(M28:M32)</f>
        <v>3</v>
      </c>
      <c r="R51" t="str">
        <f>IF(S51=1,COUNT($S$47:S51),"")</f>
        <v/>
      </c>
      <c r="S51" t="str">
        <f t="shared" si="1"/>
        <v/>
      </c>
      <c r="T51" t="str">
        <f t="shared" si="2"/>
        <v/>
      </c>
      <c r="U51" t="str">
        <f t="shared" si="3"/>
        <v/>
      </c>
    </row>
    <row r="52" spans="5:21">
      <c r="S52" t="str">
        <f t="shared" si="1"/>
        <v/>
      </c>
    </row>
    <row r="54" spans="5:21" ht="18.5">
      <c r="E54" s="79" t="s">
        <v>100</v>
      </c>
    </row>
    <row r="55" spans="5:21">
      <c r="E55" t="s">
        <v>101</v>
      </c>
    </row>
    <row r="56" spans="5:21">
      <c r="E56" t="s">
        <v>102</v>
      </c>
    </row>
    <row r="57" spans="5:21">
      <c r="E57" t="s">
        <v>103</v>
      </c>
    </row>
  </sheetData>
  <mergeCells count="40">
    <mergeCell ref="G48:M48"/>
    <mergeCell ref="G49:M49"/>
    <mergeCell ref="G50:M50"/>
    <mergeCell ref="G51:M51"/>
    <mergeCell ref="F31:K31"/>
    <mergeCell ref="F32:K32"/>
    <mergeCell ref="E44:F44"/>
    <mergeCell ref="H44:I44"/>
    <mergeCell ref="E46:M46"/>
    <mergeCell ref="G47:M47"/>
    <mergeCell ref="F25:K25"/>
    <mergeCell ref="F26:K26"/>
    <mergeCell ref="E27:L27"/>
    <mergeCell ref="F28:K28"/>
    <mergeCell ref="F29:K29"/>
    <mergeCell ref="F30:K30"/>
    <mergeCell ref="F19:K19"/>
    <mergeCell ref="F20:K20"/>
    <mergeCell ref="F21:K21"/>
    <mergeCell ref="E22:L22"/>
    <mergeCell ref="F23:K23"/>
    <mergeCell ref="F24:K24"/>
    <mergeCell ref="F13:K13"/>
    <mergeCell ref="F14:K14"/>
    <mergeCell ref="F15:K15"/>
    <mergeCell ref="E16:L16"/>
    <mergeCell ref="F17:K17"/>
    <mergeCell ref="F18:K18"/>
    <mergeCell ref="F7:K7"/>
    <mergeCell ref="E8:L8"/>
    <mergeCell ref="F9:K9"/>
    <mergeCell ref="F10:K10"/>
    <mergeCell ref="F11:K11"/>
    <mergeCell ref="E12:L12"/>
    <mergeCell ref="D1:E4"/>
    <mergeCell ref="F1:H2"/>
    <mergeCell ref="I1:L1"/>
    <mergeCell ref="I2:L2"/>
    <mergeCell ref="F3:H4"/>
    <mergeCell ref="I3:L4"/>
  </mergeCells>
  <conditionalFormatting sqref="H44">
    <cfRule type="cellIs" dxfId="18" priority="6" operator="equal">
      <formula>"RIESGO ALTO"</formula>
    </cfRule>
    <cfRule type="cellIs" dxfId="17" priority="7" operator="equal">
      <formula>"RIESGO MEDIO"</formula>
    </cfRule>
    <cfRule type="cellIs" dxfId="16" priority="8" operator="equal">
      <formula>"RIESGO BAJO"</formula>
    </cfRule>
  </conditionalFormatting>
  <conditionalFormatting sqref="G47:M47">
    <cfRule type="expression" dxfId="15" priority="5">
      <formula>$F$47&lt;&gt;$G$47</formula>
    </cfRule>
  </conditionalFormatting>
  <conditionalFormatting sqref="G48:M48">
    <cfRule type="expression" dxfId="14" priority="4">
      <formula>$F$48&lt;&gt;$G$48</formula>
    </cfRule>
  </conditionalFormatting>
  <conditionalFormatting sqref="G49:M49">
    <cfRule type="expression" dxfId="13" priority="3">
      <formula>$F$49&lt;&gt;$G$49</formula>
    </cfRule>
  </conditionalFormatting>
  <conditionalFormatting sqref="G50:M50">
    <cfRule type="expression" dxfId="12" priority="2">
      <formula>$F$50&lt;&gt;$G$50</formula>
    </cfRule>
  </conditionalFormatting>
  <conditionalFormatting sqref="G51:M51">
    <cfRule type="expression" dxfId="11" priority="1">
      <formula>$F$51&lt;&gt;$G$51</formula>
    </cfRule>
  </conditionalFormatting>
  <dataValidations count="1">
    <dataValidation type="list" allowBlank="1" showInputMessage="1" showErrorMessage="1" sqref="L9:L11 L17:L21 L23:L26 L13:L15 L28:L32">
      <formula1>#REF!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D1:U84"/>
  <sheetViews>
    <sheetView topLeftCell="C1" workbookViewId="0">
      <selection activeCell="M9" sqref="M9"/>
    </sheetView>
  </sheetViews>
  <sheetFormatPr baseColWidth="10" defaultRowHeight="14.5"/>
  <cols>
    <col min="1" max="1" width="14.36328125" customWidth="1"/>
    <col min="2" max="2" width="12.7265625" customWidth="1"/>
    <col min="3" max="3" width="2.54296875" customWidth="1"/>
    <col min="5" max="5" width="7.54296875" customWidth="1"/>
    <col min="6" max="6" width="46.7265625" customWidth="1"/>
    <col min="7" max="8" width="5" customWidth="1"/>
    <col min="9" max="9" width="10" customWidth="1"/>
    <col min="10" max="11" width="5" customWidth="1"/>
    <col min="12" max="13" width="14.453125" style="80" customWidth="1"/>
    <col min="14" max="14" width="11.453125" customWidth="1"/>
    <col min="15" max="15" width="12.81640625" customWidth="1"/>
    <col min="16" max="16" width="8.81640625" customWidth="1"/>
    <col min="17" max="18" width="11.453125" customWidth="1"/>
    <col min="19" max="19" width="18.26953125" customWidth="1"/>
    <col min="20" max="20" width="14.7265625" customWidth="1"/>
    <col min="21" max="22" width="11.453125" customWidth="1"/>
  </cols>
  <sheetData>
    <row r="1" spans="4:13">
      <c r="D1" s="5"/>
      <c r="E1" s="6"/>
      <c r="F1" s="7" t="s">
        <v>24</v>
      </c>
      <c r="G1" s="8"/>
      <c r="H1" s="9"/>
      <c r="I1" s="7" t="s">
        <v>25</v>
      </c>
      <c r="J1" s="8"/>
      <c r="K1" s="8"/>
      <c r="L1" s="9"/>
      <c r="M1"/>
    </row>
    <row r="2" spans="4:13" ht="15" thickBot="1">
      <c r="D2" s="11"/>
      <c r="E2" s="12"/>
      <c r="F2" s="13"/>
      <c r="G2" s="14"/>
      <c r="H2" s="15"/>
      <c r="I2" s="16" t="s">
        <v>26</v>
      </c>
      <c r="J2" s="17"/>
      <c r="K2" s="17"/>
      <c r="L2" s="18"/>
      <c r="M2"/>
    </row>
    <row r="3" spans="4:13">
      <c r="D3" s="11"/>
      <c r="E3" s="12"/>
      <c r="F3" s="7" t="s">
        <v>104</v>
      </c>
      <c r="G3" s="8"/>
      <c r="H3" s="9"/>
      <c r="I3" s="20" t="s">
        <v>28</v>
      </c>
      <c r="J3" s="21"/>
      <c r="K3" s="21"/>
      <c r="L3" s="22"/>
      <c r="M3"/>
    </row>
    <row r="4" spans="4:13" ht="15" thickBot="1">
      <c r="D4" s="23"/>
      <c r="E4" s="24"/>
      <c r="F4" s="13"/>
      <c r="G4" s="14"/>
      <c r="H4" s="15"/>
      <c r="I4" s="16"/>
      <c r="J4" s="17"/>
      <c r="K4" s="17"/>
      <c r="L4" s="18"/>
      <c r="M4"/>
    </row>
    <row r="6" spans="4:13" ht="15" thickBot="1"/>
    <row r="7" spans="4:13">
      <c r="E7" s="81" t="s">
        <v>105</v>
      </c>
      <c r="F7" s="82" t="s">
        <v>106</v>
      </c>
      <c r="G7" s="83"/>
      <c r="H7" s="83"/>
      <c r="I7" s="83"/>
      <c r="J7" s="83"/>
      <c r="K7" s="84"/>
      <c r="L7" s="85" t="s">
        <v>31</v>
      </c>
      <c r="M7" s="85" t="s">
        <v>32</v>
      </c>
    </row>
    <row r="8" spans="4:13">
      <c r="E8" s="86" t="s">
        <v>107</v>
      </c>
      <c r="F8" s="87"/>
      <c r="G8" s="87"/>
      <c r="H8" s="87"/>
      <c r="I8" s="87"/>
      <c r="J8" s="87"/>
      <c r="K8" s="87"/>
      <c r="L8" s="88"/>
      <c r="M8" s="89"/>
    </row>
    <row r="9" spans="4:13" ht="25.5" customHeight="1">
      <c r="E9" s="90" t="s">
        <v>34</v>
      </c>
      <c r="F9" s="91" t="s">
        <v>108</v>
      </c>
      <c r="G9" s="92"/>
      <c r="H9" s="92"/>
      <c r="I9" s="92"/>
      <c r="J9" s="92"/>
      <c r="K9" s="93"/>
      <c r="L9" s="94"/>
      <c r="M9" s="95" t="str">
        <f t="shared" ref="M9:M54" si="0">IF(OR(L9="N/A", L9=""), "", IF(L9="Sí", 1, IF(L9="Parcialmente", 0.5, IF(L9="No", 0, 0))))</f>
        <v/>
      </c>
    </row>
    <row r="10" spans="4:13" ht="25.5" customHeight="1">
      <c r="E10" s="90" t="s">
        <v>37</v>
      </c>
      <c r="F10" s="91" t="s">
        <v>109</v>
      </c>
      <c r="G10" s="92"/>
      <c r="H10" s="92"/>
      <c r="I10" s="92"/>
      <c r="J10" s="92"/>
      <c r="K10" s="93"/>
      <c r="L10" s="94"/>
      <c r="M10" s="95" t="str">
        <f t="shared" si="0"/>
        <v/>
      </c>
    </row>
    <row r="11" spans="4:13" ht="25.5" customHeight="1">
      <c r="E11" s="90" t="s">
        <v>40</v>
      </c>
      <c r="F11" s="91" t="s">
        <v>110</v>
      </c>
      <c r="G11" s="92"/>
      <c r="H11" s="92"/>
      <c r="I11" s="92"/>
      <c r="J11" s="92"/>
      <c r="K11" s="93"/>
      <c r="L11" s="94"/>
      <c r="M11" s="95" t="str">
        <f t="shared" si="0"/>
        <v/>
      </c>
    </row>
    <row r="12" spans="4:13" ht="25.5" customHeight="1">
      <c r="E12" s="90" t="s">
        <v>111</v>
      </c>
      <c r="F12" s="91" t="s">
        <v>112</v>
      </c>
      <c r="G12" s="92"/>
      <c r="H12" s="92"/>
      <c r="I12" s="92"/>
      <c r="J12" s="92"/>
      <c r="K12" s="93"/>
      <c r="L12" s="94"/>
      <c r="M12" s="95" t="str">
        <f t="shared" si="0"/>
        <v/>
      </c>
    </row>
    <row r="13" spans="4:13" ht="25.5" customHeight="1">
      <c r="E13" s="90" t="s">
        <v>113</v>
      </c>
      <c r="F13" s="91" t="s">
        <v>114</v>
      </c>
      <c r="G13" s="92"/>
      <c r="H13" s="92"/>
      <c r="I13" s="92"/>
      <c r="J13" s="92"/>
      <c r="K13" s="93"/>
      <c r="L13" s="94"/>
      <c r="M13" s="95" t="str">
        <f t="shared" si="0"/>
        <v/>
      </c>
    </row>
    <row r="14" spans="4:13" ht="25.5" customHeight="1">
      <c r="E14" s="90" t="s">
        <v>115</v>
      </c>
      <c r="F14" s="91" t="s">
        <v>116</v>
      </c>
      <c r="G14" s="92"/>
      <c r="H14" s="92"/>
      <c r="I14" s="92"/>
      <c r="J14" s="92"/>
      <c r="K14" s="93"/>
      <c r="L14" s="94"/>
      <c r="M14" s="95" t="str">
        <f t="shared" si="0"/>
        <v/>
      </c>
    </row>
    <row r="15" spans="4:13" ht="25.5" customHeight="1">
      <c r="E15" s="90" t="s">
        <v>117</v>
      </c>
      <c r="F15" s="91" t="s">
        <v>118</v>
      </c>
      <c r="G15" s="92"/>
      <c r="H15" s="92"/>
      <c r="I15" s="92"/>
      <c r="J15" s="92"/>
      <c r="K15" s="93"/>
      <c r="L15" s="94"/>
      <c r="M15" s="95" t="str">
        <f t="shared" si="0"/>
        <v/>
      </c>
    </row>
    <row r="16" spans="4:13">
      <c r="E16" s="86" t="s">
        <v>119</v>
      </c>
      <c r="F16" s="87"/>
      <c r="G16" s="87"/>
      <c r="H16" s="87"/>
      <c r="I16" s="87"/>
      <c r="J16" s="87"/>
      <c r="K16" s="87"/>
      <c r="L16" s="88"/>
      <c r="M16" s="89" t="str">
        <f t="shared" si="0"/>
        <v/>
      </c>
    </row>
    <row r="17" spans="5:13" ht="25.5" customHeight="1">
      <c r="E17" s="90" t="s">
        <v>43</v>
      </c>
      <c r="F17" s="91" t="s">
        <v>120</v>
      </c>
      <c r="G17" s="92"/>
      <c r="H17" s="92"/>
      <c r="I17" s="92"/>
      <c r="J17" s="92"/>
      <c r="K17" s="93"/>
      <c r="L17" s="94"/>
      <c r="M17" s="95" t="str">
        <f t="shared" si="0"/>
        <v/>
      </c>
    </row>
    <row r="18" spans="5:13" ht="25.5" customHeight="1">
      <c r="E18" s="90" t="s">
        <v>45</v>
      </c>
      <c r="F18" s="91" t="s">
        <v>121</v>
      </c>
      <c r="G18" s="92"/>
      <c r="H18" s="92"/>
      <c r="I18" s="92"/>
      <c r="J18" s="92"/>
      <c r="K18" s="93"/>
      <c r="L18" s="94"/>
      <c r="M18" s="95" t="str">
        <f t="shared" si="0"/>
        <v/>
      </c>
    </row>
    <row r="19" spans="5:13" ht="25.5" customHeight="1">
      <c r="E19" s="90" t="s">
        <v>47</v>
      </c>
      <c r="F19" s="91" t="s">
        <v>122</v>
      </c>
      <c r="G19" s="92"/>
      <c r="H19" s="92"/>
      <c r="I19" s="92"/>
      <c r="J19" s="92"/>
      <c r="K19" s="93"/>
      <c r="L19" s="94"/>
      <c r="M19" s="95" t="str">
        <f t="shared" si="0"/>
        <v/>
      </c>
    </row>
    <row r="20" spans="5:13" ht="25.5" customHeight="1">
      <c r="E20" s="90" t="s">
        <v>123</v>
      </c>
      <c r="F20" s="91" t="s">
        <v>124</v>
      </c>
      <c r="G20" s="92"/>
      <c r="H20" s="92"/>
      <c r="I20" s="92"/>
      <c r="J20" s="92"/>
      <c r="K20" s="93"/>
      <c r="L20" s="94"/>
      <c r="M20" s="95" t="str">
        <f t="shared" si="0"/>
        <v/>
      </c>
    </row>
    <row r="21" spans="5:13" ht="25.5" customHeight="1">
      <c r="E21" s="90" t="s">
        <v>125</v>
      </c>
      <c r="F21" s="91" t="s">
        <v>126</v>
      </c>
      <c r="G21" s="92"/>
      <c r="H21" s="92"/>
      <c r="I21" s="92"/>
      <c r="J21" s="92"/>
      <c r="K21" s="93"/>
      <c r="L21" s="94"/>
      <c r="M21" s="95" t="str">
        <f t="shared" si="0"/>
        <v/>
      </c>
    </row>
    <row r="22" spans="5:13">
      <c r="E22" s="86" t="s">
        <v>127</v>
      </c>
      <c r="F22" s="87"/>
      <c r="G22" s="87"/>
      <c r="H22" s="87"/>
      <c r="I22" s="87"/>
      <c r="J22" s="87"/>
      <c r="K22" s="87"/>
      <c r="L22" s="88"/>
      <c r="M22" s="89" t="str">
        <f t="shared" si="0"/>
        <v/>
      </c>
    </row>
    <row r="23" spans="5:13" ht="25.5" customHeight="1">
      <c r="E23" s="90" t="s">
        <v>50</v>
      </c>
      <c r="F23" s="91" t="s">
        <v>128</v>
      </c>
      <c r="G23" s="92"/>
      <c r="H23" s="92"/>
      <c r="I23" s="92"/>
      <c r="J23" s="92"/>
      <c r="K23" s="93"/>
      <c r="L23" s="94"/>
      <c r="M23" s="95" t="str">
        <f t="shared" si="0"/>
        <v/>
      </c>
    </row>
    <row r="24" spans="5:13" ht="25.5" customHeight="1">
      <c r="E24" s="90" t="s">
        <v>52</v>
      </c>
      <c r="F24" s="91" t="s">
        <v>129</v>
      </c>
      <c r="G24" s="92"/>
      <c r="H24" s="92"/>
      <c r="I24" s="92"/>
      <c r="J24" s="92"/>
      <c r="K24" s="93"/>
      <c r="L24" s="94"/>
      <c r="M24" s="95" t="str">
        <f t="shared" si="0"/>
        <v/>
      </c>
    </row>
    <row r="25" spans="5:13" ht="25.5" customHeight="1">
      <c r="E25" s="90" t="s">
        <v>54</v>
      </c>
      <c r="F25" s="91" t="s">
        <v>130</v>
      </c>
      <c r="G25" s="92"/>
      <c r="H25" s="92"/>
      <c r="I25" s="92"/>
      <c r="J25" s="92"/>
      <c r="K25" s="93"/>
      <c r="L25" s="94"/>
      <c r="M25" s="95" t="str">
        <f t="shared" si="0"/>
        <v/>
      </c>
    </row>
    <row r="26" spans="5:13" ht="25.5" customHeight="1">
      <c r="E26" s="90" t="s">
        <v>56</v>
      </c>
      <c r="F26" s="91" t="s">
        <v>131</v>
      </c>
      <c r="G26" s="92"/>
      <c r="H26" s="92"/>
      <c r="I26" s="92"/>
      <c r="J26" s="92"/>
      <c r="K26" s="93"/>
      <c r="L26" s="94"/>
      <c r="M26" s="95" t="str">
        <f t="shared" si="0"/>
        <v/>
      </c>
    </row>
    <row r="27" spans="5:13">
      <c r="E27" s="86" t="s">
        <v>132</v>
      </c>
      <c r="F27" s="87"/>
      <c r="G27" s="87"/>
      <c r="H27" s="87"/>
      <c r="I27" s="87"/>
      <c r="J27" s="87"/>
      <c r="K27" s="87"/>
      <c r="L27" s="88"/>
      <c r="M27" s="89" t="str">
        <f t="shared" si="0"/>
        <v/>
      </c>
    </row>
    <row r="28" spans="5:13" ht="25.5" customHeight="1">
      <c r="E28" s="90" t="s">
        <v>61</v>
      </c>
      <c r="F28" s="91" t="s">
        <v>133</v>
      </c>
      <c r="G28" s="92"/>
      <c r="H28" s="92"/>
      <c r="I28" s="92"/>
      <c r="J28" s="92"/>
      <c r="K28" s="93"/>
      <c r="L28" s="94"/>
      <c r="M28" s="95" t="str">
        <f t="shared" si="0"/>
        <v/>
      </c>
    </row>
    <row r="29" spans="5:13" ht="25.5" customHeight="1">
      <c r="E29" s="90" t="s">
        <v>63</v>
      </c>
      <c r="F29" s="91" t="s">
        <v>134</v>
      </c>
      <c r="G29" s="92"/>
      <c r="H29" s="92"/>
      <c r="I29" s="92"/>
      <c r="J29" s="92"/>
      <c r="K29" s="93"/>
      <c r="L29" s="94"/>
      <c r="M29" s="95" t="str">
        <f t="shared" si="0"/>
        <v/>
      </c>
    </row>
    <row r="30" spans="5:13" ht="25.5" customHeight="1">
      <c r="E30" s="90" t="s">
        <v>65</v>
      </c>
      <c r="F30" s="91" t="s">
        <v>135</v>
      </c>
      <c r="G30" s="92"/>
      <c r="H30" s="92"/>
      <c r="I30" s="92"/>
      <c r="J30" s="92"/>
      <c r="K30" s="93"/>
      <c r="L30" s="94"/>
      <c r="M30" s="95" t="str">
        <f t="shared" si="0"/>
        <v/>
      </c>
    </row>
    <row r="31" spans="5:13" ht="25.5" customHeight="1">
      <c r="E31" s="90" t="s">
        <v>67</v>
      </c>
      <c r="F31" s="91" t="s">
        <v>136</v>
      </c>
      <c r="G31" s="92"/>
      <c r="H31" s="92"/>
      <c r="I31" s="92"/>
      <c r="J31" s="92"/>
      <c r="K31" s="93"/>
      <c r="L31" s="94"/>
      <c r="M31" s="95" t="str">
        <f t="shared" si="0"/>
        <v/>
      </c>
    </row>
    <row r="32" spans="5:13" ht="25.5" customHeight="1">
      <c r="E32" s="90" t="s">
        <v>137</v>
      </c>
      <c r="F32" s="91" t="s">
        <v>138</v>
      </c>
      <c r="G32" s="92"/>
      <c r="H32" s="92"/>
      <c r="I32" s="92"/>
      <c r="J32" s="92"/>
      <c r="K32" s="93"/>
      <c r="L32" s="94"/>
      <c r="M32" s="95" t="str">
        <f t="shared" si="0"/>
        <v/>
      </c>
    </row>
    <row r="33" spans="5:13">
      <c r="E33" s="86" t="s">
        <v>139</v>
      </c>
      <c r="F33" s="87"/>
      <c r="G33" s="87"/>
      <c r="H33" s="87"/>
      <c r="I33" s="87"/>
      <c r="J33" s="87"/>
      <c r="K33" s="87"/>
      <c r="L33" s="88"/>
      <c r="M33" s="89" t="str">
        <f t="shared" si="0"/>
        <v/>
      </c>
    </row>
    <row r="34" spans="5:13" ht="25.5" customHeight="1">
      <c r="E34" s="90" t="s">
        <v>70</v>
      </c>
      <c r="F34" s="91" t="s">
        <v>140</v>
      </c>
      <c r="G34" s="92"/>
      <c r="H34" s="92"/>
      <c r="I34" s="92"/>
      <c r="J34" s="92"/>
      <c r="K34" s="93"/>
      <c r="L34" s="94"/>
      <c r="M34" s="95" t="str">
        <f t="shared" si="0"/>
        <v/>
      </c>
    </row>
    <row r="35" spans="5:13" ht="25.5" customHeight="1">
      <c r="E35" s="90" t="s">
        <v>72</v>
      </c>
      <c r="F35" s="91" t="s">
        <v>141</v>
      </c>
      <c r="G35" s="92"/>
      <c r="H35" s="92"/>
      <c r="I35" s="92"/>
      <c r="J35" s="92"/>
      <c r="K35" s="93"/>
      <c r="L35" s="94"/>
      <c r="M35" s="95" t="str">
        <f t="shared" si="0"/>
        <v/>
      </c>
    </row>
    <row r="36" spans="5:13" ht="25.5" customHeight="1">
      <c r="E36" s="90" t="s">
        <v>74</v>
      </c>
      <c r="F36" s="91" t="s">
        <v>142</v>
      </c>
      <c r="G36" s="92"/>
      <c r="H36" s="92"/>
      <c r="I36" s="92"/>
      <c r="J36" s="92"/>
      <c r="K36" s="93"/>
      <c r="L36" s="94"/>
      <c r="M36" s="95" t="str">
        <f t="shared" si="0"/>
        <v/>
      </c>
    </row>
    <row r="37" spans="5:13" ht="25.5" customHeight="1">
      <c r="E37" s="90" t="s">
        <v>76</v>
      </c>
      <c r="F37" s="91" t="s">
        <v>143</v>
      </c>
      <c r="G37" s="92"/>
      <c r="H37" s="92"/>
      <c r="I37" s="92"/>
      <c r="J37" s="92"/>
      <c r="K37" s="93"/>
      <c r="L37" s="94"/>
      <c r="M37" s="95" t="str">
        <f t="shared" si="0"/>
        <v/>
      </c>
    </row>
    <row r="38" spans="5:13">
      <c r="E38" s="86" t="s">
        <v>144</v>
      </c>
      <c r="F38" s="87"/>
      <c r="G38" s="87"/>
      <c r="H38" s="87"/>
      <c r="I38" s="87"/>
      <c r="J38" s="87"/>
      <c r="K38" s="87"/>
      <c r="L38" s="88"/>
      <c r="M38" s="89" t="str">
        <f t="shared" si="0"/>
        <v/>
      </c>
    </row>
    <row r="39" spans="5:13" ht="25.5" customHeight="1">
      <c r="E39" s="90" t="s">
        <v>145</v>
      </c>
      <c r="F39" s="91" t="s">
        <v>146</v>
      </c>
      <c r="G39" s="92"/>
      <c r="H39" s="92"/>
      <c r="I39" s="92"/>
      <c r="J39" s="92"/>
      <c r="K39" s="93"/>
      <c r="L39" s="94"/>
      <c r="M39" s="95" t="str">
        <f t="shared" si="0"/>
        <v/>
      </c>
    </row>
    <row r="40" spans="5:13" ht="25.5" customHeight="1">
      <c r="E40" s="90" t="s">
        <v>147</v>
      </c>
      <c r="F40" s="91" t="s">
        <v>148</v>
      </c>
      <c r="G40" s="92"/>
      <c r="H40" s="92"/>
      <c r="I40" s="92"/>
      <c r="J40" s="92"/>
      <c r="K40" s="93"/>
      <c r="L40" s="94"/>
      <c r="M40" s="95" t="str">
        <f t="shared" si="0"/>
        <v/>
      </c>
    </row>
    <row r="41" spans="5:13" ht="25.5" customHeight="1">
      <c r="E41" s="90" t="s">
        <v>149</v>
      </c>
      <c r="F41" s="91" t="s">
        <v>150</v>
      </c>
      <c r="G41" s="92"/>
      <c r="H41" s="92"/>
      <c r="I41" s="92"/>
      <c r="J41" s="92"/>
      <c r="K41" s="93"/>
      <c r="L41" s="94"/>
      <c r="M41" s="95" t="str">
        <f t="shared" si="0"/>
        <v/>
      </c>
    </row>
    <row r="42" spans="5:13" ht="25.5" customHeight="1">
      <c r="E42" s="90" t="s">
        <v>151</v>
      </c>
      <c r="F42" s="91" t="s">
        <v>152</v>
      </c>
      <c r="G42" s="92"/>
      <c r="H42" s="92"/>
      <c r="I42" s="92"/>
      <c r="J42" s="92"/>
      <c r="K42" s="93"/>
      <c r="L42" s="94"/>
      <c r="M42" s="95" t="str">
        <f t="shared" si="0"/>
        <v/>
      </c>
    </row>
    <row r="43" spans="5:13" ht="25.5" customHeight="1">
      <c r="E43" s="90" t="s">
        <v>153</v>
      </c>
      <c r="F43" s="91" t="s">
        <v>154</v>
      </c>
      <c r="G43" s="92"/>
      <c r="H43" s="92"/>
      <c r="I43" s="92"/>
      <c r="J43" s="92"/>
      <c r="K43" s="93"/>
      <c r="L43" s="94"/>
      <c r="M43" s="95" t="str">
        <f t="shared" si="0"/>
        <v/>
      </c>
    </row>
    <row r="44" spans="5:13" ht="25.5" customHeight="1">
      <c r="E44" s="90" t="s">
        <v>155</v>
      </c>
      <c r="F44" s="91" t="s">
        <v>156</v>
      </c>
      <c r="G44" s="92"/>
      <c r="H44" s="92"/>
      <c r="I44" s="92"/>
      <c r="J44" s="92"/>
      <c r="K44" s="93"/>
      <c r="L44" s="94"/>
      <c r="M44" s="95" t="str">
        <f t="shared" si="0"/>
        <v/>
      </c>
    </row>
    <row r="45" spans="5:13" ht="25.5" customHeight="1">
      <c r="E45" s="90" t="s">
        <v>157</v>
      </c>
      <c r="F45" s="91" t="s">
        <v>158</v>
      </c>
      <c r="G45" s="92"/>
      <c r="H45" s="92"/>
      <c r="I45" s="92"/>
      <c r="J45" s="92"/>
      <c r="K45" s="93"/>
      <c r="L45" s="94"/>
      <c r="M45" s="95" t="str">
        <f t="shared" si="0"/>
        <v/>
      </c>
    </row>
    <row r="46" spans="5:13" ht="25.5" customHeight="1">
      <c r="E46" s="90" t="s">
        <v>159</v>
      </c>
      <c r="F46" s="91" t="s">
        <v>160</v>
      </c>
      <c r="G46" s="92"/>
      <c r="H46" s="92"/>
      <c r="I46" s="92"/>
      <c r="J46" s="92"/>
      <c r="K46" s="93"/>
      <c r="L46" s="94"/>
      <c r="M46" s="95" t="str">
        <f t="shared" si="0"/>
        <v/>
      </c>
    </row>
    <row r="47" spans="5:13">
      <c r="E47" s="86" t="s">
        <v>161</v>
      </c>
      <c r="F47" s="87"/>
      <c r="G47" s="87"/>
      <c r="H47" s="87"/>
      <c r="I47" s="87"/>
      <c r="J47" s="87"/>
      <c r="K47" s="87"/>
      <c r="L47" s="88"/>
      <c r="M47" s="89" t="str">
        <f t="shared" si="0"/>
        <v/>
      </c>
    </row>
    <row r="48" spans="5:13" ht="25.5" customHeight="1">
      <c r="E48" s="90" t="s">
        <v>162</v>
      </c>
      <c r="F48" s="91" t="s">
        <v>163</v>
      </c>
      <c r="G48" s="92"/>
      <c r="H48" s="92"/>
      <c r="I48" s="92"/>
      <c r="J48" s="92"/>
      <c r="K48" s="93"/>
      <c r="L48" s="94"/>
      <c r="M48" s="95" t="str">
        <f t="shared" si="0"/>
        <v/>
      </c>
    </row>
    <row r="49" spans="5:13" ht="25.5" customHeight="1">
      <c r="E49" s="90" t="s">
        <v>164</v>
      </c>
      <c r="F49" s="91" t="s">
        <v>165</v>
      </c>
      <c r="G49" s="92"/>
      <c r="H49" s="92"/>
      <c r="I49" s="92"/>
      <c r="J49" s="92"/>
      <c r="K49" s="93"/>
      <c r="L49" s="94"/>
      <c r="M49" s="95" t="str">
        <f t="shared" si="0"/>
        <v/>
      </c>
    </row>
    <row r="50" spans="5:13" ht="25.5" customHeight="1">
      <c r="E50" s="90" t="s">
        <v>166</v>
      </c>
      <c r="F50" s="91" t="s">
        <v>167</v>
      </c>
      <c r="G50" s="92"/>
      <c r="H50" s="92"/>
      <c r="I50" s="92"/>
      <c r="J50" s="92"/>
      <c r="K50" s="93"/>
      <c r="L50" s="94"/>
      <c r="M50" s="95" t="str">
        <f t="shared" si="0"/>
        <v/>
      </c>
    </row>
    <row r="51" spans="5:13" ht="25.5" customHeight="1">
      <c r="E51" s="90" t="s">
        <v>168</v>
      </c>
      <c r="F51" s="91" t="s">
        <v>169</v>
      </c>
      <c r="G51" s="92"/>
      <c r="H51" s="92"/>
      <c r="I51" s="92"/>
      <c r="J51" s="92"/>
      <c r="K51" s="93"/>
      <c r="L51" s="94"/>
      <c r="M51" s="95" t="str">
        <f t="shared" si="0"/>
        <v/>
      </c>
    </row>
    <row r="52" spans="5:13" ht="25.5" customHeight="1">
      <c r="E52" s="90" t="s">
        <v>170</v>
      </c>
      <c r="F52" s="91" t="s">
        <v>171</v>
      </c>
      <c r="G52" s="92"/>
      <c r="H52" s="92"/>
      <c r="I52" s="92"/>
      <c r="J52" s="92"/>
      <c r="K52" s="93"/>
      <c r="L52" s="94"/>
      <c r="M52" s="95" t="str">
        <f t="shared" si="0"/>
        <v/>
      </c>
    </row>
    <row r="53" spans="5:13" ht="25.5" customHeight="1">
      <c r="E53" s="90" t="s">
        <v>172</v>
      </c>
      <c r="F53" s="91" t="s">
        <v>173</v>
      </c>
      <c r="G53" s="92"/>
      <c r="H53" s="92"/>
      <c r="I53" s="92"/>
      <c r="J53" s="92"/>
      <c r="K53" s="93"/>
      <c r="L53" s="94"/>
      <c r="M53" s="95" t="str">
        <f t="shared" si="0"/>
        <v/>
      </c>
    </row>
    <row r="54" spans="5:13" ht="26.25" customHeight="1" thickBot="1">
      <c r="E54" s="96" t="s">
        <v>174</v>
      </c>
      <c r="F54" s="97" t="s">
        <v>175</v>
      </c>
      <c r="G54" s="98"/>
      <c r="H54" s="98"/>
      <c r="I54" s="98"/>
      <c r="J54" s="98"/>
      <c r="K54" s="99"/>
      <c r="L54" s="100"/>
      <c r="M54" s="101" t="str">
        <f t="shared" si="0"/>
        <v/>
      </c>
    </row>
    <row r="56" spans="5:13" ht="15" thickBot="1"/>
    <row r="57" spans="5:13" ht="52">
      <c r="E57" s="102" t="s">
        <v>176</v>
      </c>
      <c r="F57" s="103" t="s">
        <v>177</v>
      </c>
      <c r="G57" s="104" t="s">
        <v>82</v>
      </c>
      <c r="H57" s="104"/>
      <c r="I57" s="104" t="s">
        <v>83</v>
      </c>
      <c r="J57" s="104"/>
      <c r="K57" s="104"/>
      <c r="L57" s="105" t="s">
        <v>178</v>
      </c>
      <c r="M57"/>
    </row>
    <row r="58" spans="5:13" ht="23.25" customHeight="1">
      <c r="E58" s="106">
        <v>57</v>
      </c>
      <c r="F58" s="107" t="s">
        <v>179</v>
      </c>
      <c r="G58" s="108">
        <v>0.1</v>
      </c>
      <c r="H58" s="108"/>
      <c r="I58" s="109">
        <f>IFERROR(AVERAGE(M9:M15), 0)</f>
        <v>0</v>
      </c>
      <c r="J58" s="109"/>
      <c r="K58" s="109"/>
      <c r="L58" s="110">
        <f t="shared" ref="L58:L64" si="1">G58*I58</f>
        <v>0</v>
      </c>
      <c r="M58"/>
    </row>
    <row r="59" spans="5:13" ht="23.25" customHeight="1">
      <c r="E59" s="106">
        <v>58</v>
      </c>
      <c r="F59" s="107" t="s">
        <v>180</v>
      </c>
      <c r="G59" s="108">
        <v>0.15</v>
      </c>
      <c r="H59" s="108"/>
      <c r="I59" s="109">
        <f>IFERROR(AVERAGE(M17:M21), 0)</f>
        <v>0</v>
      </c>
      <c r="J59" s="109"/>
      <c r="K59" s="109"/>
      <c r="L59" s="110">
        <f t="shared" si="1"/>
        <v>0</v>
      </c>
      <c r="M59"/>
    </row>
    <row r="60" spans="5:13" ht="23.25" customHeight="1">
      <c r="E60" s="106">
        <v>59</v>
      </c>
      <c r="F60" s="107" t="s">
        <v>181</v>
      </c>
      <c r="G60" s="108">
        <v>0.15</v>
      </c>
      <c r="H60" s="108"/>
      <c r="I60" s="109">
        <f>IFERROR(AVERAGE(M23:M26), 0)</f>
        <v>0</v>
      </c>
      <c r="J60" s="109"/>
      <c r="K60" s="109"/>
      <c r="L60" s="110">
        <f t="shared" si="1"/>
        <v>0</v>
      </c>
      <c r="M60"/>
    </row>
    <row r="61" spans="5:13" ht="23.25" customHeight="1">
      <c r="E61" s="106">
        <v>60</v>
      </c>
      <c r="F61" s="107" t="s">
        <v>182</v>
      </c>
      <c r="G61" s="108">
        <v>0.05</v>
      </c>
      <c r="H61" s="108"/>
      <c r="I61" s="109">
        <f>IFERROR(AVERAGE(M28:M32), 0)</f>
        <v>0</v>
      </c>
      <c r="J61" s="109"/>
      <c r="K61" s="109"/>
      <c r="L61" s="110">
        <f t="shared" si="1"/>
        <v>0</v>
      </c>
      <c r="M61"/>
    </row>
    <row r="62" spans="5:13" ht="23.25" customHeight="1">
      <c r="E62" s="106">
        <v>61</v>
      </c>
      <c r="F62" s="107" t="s">
        <v>183</v>
      </c>
      <c r="G62" s="108">
        <v>0.15</v>
      </c>
      <c r="H62" s="108"/>
      <c r="I62" s="109">
        <f>IFERROR(AVERAGE(M34:M37), 0)</f>
        <v>0</v>
      </c>
      <c r="J62" s="109"/>
      <c r="K62" s="109"/>
      <c r="L62" s="110">
        <f t="shared" si="1"/>
        <v>0</v>
      </c>
      <c r="M62"/>
    </row>
    <row r="63" spans="5:13" ht="23.25" customHeight="1">
      <c r="E63" s="106">
        <v>62</v>
      </c>
      <c r="F63" s="107" t="s">
        <v>184</v>
      </c>
      <c r="G63" s="108">
        <v>0.2</v>
      </c>
      <c r="H63" s="108"/>
      <c r="I63" s="109">
        <f>IFERROR(AVERAGE(M39:M46), 0)</f>
        <v>0</v>
      </c>
      <c r="J63" s="109"/>
      <c r="K63" s="109"/>
      <c r="L63" s="110">
        <f t="shared" si="1"/>
        <v>0</v>
      </c>
      <c r="M63"/>
    </row>
    <row r="64" spans="5:13" ht="23.25" customHeight="1">
      <c r="E64" s="106">
        <v>63</v>
      </c>
      <c r="F64" s="107" t="s">
        <v>185</v>
      </c>
      <c r="G64" s="108">
        <v>0.2</v>
      </c>
      <c r="H64" s="108"/>
      <c r="I64" s="109">
        <f>IFERROR(AVERAGE(M48:M54), 0)</f>
        <v>0</v>
      </c>
      <c r="J64" s="109"/>
      <c r="K64" s="109"/>
      <c r="L64" s="110">
        <f t="shared" si="1"/>
        <v>0</v>
      </c>
      <c r="M64"/>
    </row>
    <row r="65" spans="5:21" ht="23.25" customHeight="1" thickBot="1">
      <c r="E65" s="111">
        <v>64</v>
      </c>
      <c r="F65" s="112" t="s">
        <v>186</v>
      </c>
      <c r="G65" s="113">
        <v>1</v>
      </c>
      <c r="H65" s="113"/>
      <c r="I65" s="114">
        <f>AVERAGE(I58:I64)</f>
        <v>0</v>
      </c>
      <c r="J65" s="114"/>
      <c r="K65" s="114"/>
      <c r="L65" s="115">
        <f>SUM(L58:L64)</f>
        <v>0</v>
      </c>
      <c r="M65"/>
    </row>
    <row r="66" spans="5:21" ht="23.25" customHeight="1"/>
    <row r="67" spans="5:21" ht="23.25" customHeight="1"/>
    <row r="68" spans="5:21" ht="23.25" customHeight="1">
      <c r="E68" s="61" t="s">
        <v>91</v>
      </c>
      <c r="F68" s="62"/>
      <c r="I68" s="116" t="str">
        <f>IF(L65=0,"",IF(L65&gt;=0.8,"RIESGO BAJO",IF(L65&gt;=0.6,"RIESGO MEDIO","RIESGO ALTO")))</f>
        <v/>
      </c>
      <c r="J68" s="116"/>
      <c r="K68" s="116"/>
      <c r="L68" s="116"/>
      <c r="M68"/>
    </row>
    <row r="69" spans="5:21" ht="23.25" customHeight="1" thickBot="1">
      <c r="L69"/>
      <c r="M69"/>
    </row>
    <row r="70" spans="5:21" ht="22.5" customHeight="1">
      <c r="E70" s="64" t="s">
        <v>92</v>
      </c>
      <c r="F70" s="65"/>
      <c r="G70" s="65"/>
      <c r="H70" s="65"/>
      <c r="I70" s="65"/>
      <c r="J70" s="65"/>
      <c r="K70" s="65"/>
      <c r="L70" s="65"/>
      <c r="M70" s="66"/>
      <c r="O70" t="s">
        <v>93</v>
      </c>
      <c r="P70" t="s">
        <v>94</v>
      </c>
    </row>
    <row r="71" spans="5:21">
      <c r="E71" s="67" t="s">
        <v>95</v>
      </c>
      <c r="F71" s="68" t="str">
        <f>IF(P71&lt;(O71/2),E8&amp;" - No cumple el promedio Requerido","")</f>
        <v>1. INFRAESTRUCTURA FÍSICA E IMAGEN - No cumple el promedio Requerido</v>
      </c>
      <c r="G71" s="117"/>
      <c r="H71" s="117"/>
      <c r="I71" s="117"/>
      <c r="J71" s="117"/>
      <c r="K71" s="117"/>
      <c r="L71" s="117"/>
      <c r="M71" s="118"/>
      <c r="O71">
        <f>COUNTA(F9:K15)</f>
        <v>7</v>
      </c>
      <c r="P71">
        <f>SUM(M9:M15)</f>
        <v>0</v>
      </c>
      <c r="R71">
        <f>IF(S71=1,COUNT($S$47:S71),"")</f>
        <v>1</v>
      </c>
      <c r="S71">
        <f>IF(F71="","",1)</f>
        <v>1</v>
      </c>
      <c r="T71" t="str">
        <f>IF($S71="","",F71)</f>
        <v>1. INFRAESTRUCTURA FÍSICA E IMAGEN - No cumple el promedio Requerido</v>
      </c>
      <c r="U71" t="str">
        <f>IF($S71="","",IF(G71="","",G71))</f>
        <v/>
      </c>
    </row>
    <row r="72" spans="5:21">
      <c r="E72" s="67" t="s">
        <v>96</v>
      </c>
      <c r="F72" s="68" t="str">
        <f>IF(P72&lt;(O72/2),E16&amp;" - No cumple el promedio Requerido","")</f>
        <v>2. ATENCIÓN AL CLIENTE Y CALIDAD - No cumple el promedio Requerido</v>
      </c>
      <c r="G72" s="119"/>
      <c r="H72" s="119"/>
      <c r="I72" s="119"/>
      <c r="J72" s="119"/>
      <c r="K72" s="119"/>
      <c r="L72" s="119"/>
      <c r="M72" s="120"/>
      <c r="O72">
        <f>COUNTA(F17:K21)</f>
        <v>5</v>
      </c>
      <c r="P72">
        <f>SUM(M17:M21)</f>
        <v>0</v>
      </c>
      <c r="R72">
        <f>IF(S72=1,COUNT($S$47:S72),"")</f>
        <v>2</v>
      </c>
      <c r="S72">
        <f t="shared" ref="S72:S77" si="2">IF(F72="","",1)</f>
        <v>1</v>
      </c>
      <c r="T72" t="str">
        <f t="shared" ref="T72:T77" si="3">IF($S72="","",F72)</f>
        <v>2. ATENCIÓN AL CLIENTE Y CALIDAD - No cumple el promedio Requerido</v>
      </c>
      <c r="U72" t="str">
        <f t="shared" ref="U72:U77" si="4">IF($S72="","",IF(G72="","",G72))</f>
        <v/>
      </c>
    </row>
    <row r="73" spans="5:21">
      <c r="E73" s="67" t="s">
        <v>97</v>
      </c>
      <c r="F73" s="68" t="str">
        <f>IF(P73&lt;(O73/2),E22&amp;" - No cumple el promedio Requerido","")</f>
        <v>3. CAJA Y RESGUARDO DE VALORES - No cumple el promedio Requerido</v>
      </c>
      <c r="G73" s="119"/>
      <c r="H73" s="119"/>
      <c r="I73" s="119"/>
      <c r="J73" s="119"/>
      <c r="K73" s="119"/>
      <c r="L73" s="119"/>
      <c r="M73" s="120"/>
      <c r="O73">
        <f>COUNTA(F23:K26)</f>
        <v>4</v>
      </c>
      <c r="P73">
        <f>SUM(M23:M26)</f>
        <v>0</v>
      </c>
      <c r="R73">
        <f>IF(S73=1,COUNT($S$47:S73),"")</f>
        <v>3</v>
      </c>
      <c r="S73">
        <f t="shared" si="2"/>
        <v>1</v>
      </c>
      <c r="T73" t="str">
        <f t="shared" si="3"/>
        <v>3. CAJA Y RESGUARDO DE VALORES - No cumple el promedio Requerido</v>
      </c>
      <c r="U73" t="str">
        <f t="shared" si="4"/>
        <v/>
      </c>
    </row>
    <row r="74" spans="5:21">
      <c r="E74" s="67" t="s">
        <v>98</v>
      </c>
      <c r="F74" s="68" t="str">
        <f>IF(P74&lt;(O74/2),E27&amp;" - No cumple el promedio Requerido","")</f>
        <v>4. GESTIÓN DEL PERSONAL (RRHH) - No cumple el promedio Requerido</v>
      </c>
      <c r="G74" s="119"/>
      <c r="H74" s="119"/>
      <c r="I74" s="119"/>
      <c r="J74" s="119"/>
      <c r="K74" s="119"/>
      <c r="L74" s="119"/>
      <c r="M74" s="120"/>
      <c r="O74">
        <f>COUNTA(F28:K32)</f>
        <v>5</v>
      </c>
      <c r="P74">
        <f>SUM(M28:M32)</f>
        <v>0</v>
      </c>
      <c r="R74">
        <f>IF(S74=1,COUNT($S$47:S74),"")</f>
        <v>4</v>
      </c>
      <c r="S74">
        <f t="shared" si="2"/>
        <v>1</v>
      </c>
      <c r="T74" t="str">
        <f t="shared" si="3"/>
        <v>4. GESTIÓN DEL PERSONAL (RRHH) - No cumple el promedio Requerido</v>
      </c>
      <c r="U74" t="str">
        <f t="shared" si="4"/>
        <v/>
      </c>
    </row>
    <row r="75" spans="5:21" ht="15" thickBot="1">
      <c r="E75" s="74" t="s">
        <v>99</v>
      </c>
      <c r="F75" s="68" t="str">
        <f>IF(P75&lt;(O75/2),E33&amp;" - No cumple el promedio Requerido","")</f>
        <v>5. SEGURIDAD FÍSICA Y ACCESOS - No cumple el promedio Requerido</v>
      </c>
      <c r="G75" s="119"/>
      <c r="H75" s="119"/>
      <c r="I75" s="119"/>
      <c r="J75" s="119"/>
      <c r="K75" s="119"/>
      <c r="L75" s="119"/>
      <c r="M75" s="120"/>
      <c r="O75">
        <f>COUNTA(F34:K37)</f>
        <v>4</v>
      </c>
      <c r="P75">
        <f>SUM(M34:M37)</f>
        <v>0</v>
      </c>
      <c r="R75">
        <f>IF(S75=1,COUNT($S$47:S75),"")</f>
        <v>5</v>
      </c>
      <c r="S75">
        <f t="shared" si="2"/>
        <v>1</v>
      </c>
      <c r="T75" t="str">
        <f t="shared" si="3"/>
        <v>5. SEGURIDAD FÍSICA Y ACCESOS - No cumple el promedio Requerido</v>
      </c>
      <c r="U75" t="str">
        <f t="shared" si="4"/>
        <v/>
      </c>
    </row>
    <row r="76" spans="5:21" ht="15" thickBot="1">
      <c r="E76" s="74" t="s">
        <v>187</v>
      </c>
      <c r="F76" s="68" t="str">
        <f>IF(P76&lt;(O76/2),E38&amp;" - No cumple el promedio Requerido","")</f>
        <v>6. TECNOLOGÍA Y CONTINUIDAD - No cumple el promedio Requerido</v>
      </c>
      <c r="G76" s="119"/>
      <c r="H76" s="119"/>
      <c r="I76" s="119"/>
      <c r="J76" s="119"/>
      <c r="K76" s="119"/>
      <c r="L76" s="119"/>
      <c r="M76" s="120"/>
      <c r="O76">
        <f>COUNTA(F39:K46)</f>
        <v>8</v>
      </c>
      <c r="P76">
        <f>SUM(M39:M46)</f>
        <v>0</v>
      </c>
      <c r="R76">
        <f>IF(S76=1,COUNT($S$47:S76),"")</f>
        <v>6</v>
      </c>
      <c r="S76">
        <f t="shared" si="2"/>
        <v>1</v>
      </c>
      <c r="T76" t="str">
        <f t="shared" si="3"/>
        <v>6. TECNOLOGÍA Y CONTINUIDAD - No cumple el promedio Requerido</v>
      </c>
      <c r="U76" t="str">
        <f t="shared" si="4"/>
        <v/>
      </c>
    </row>
    <row r="77" spans="5:21" ht="15" thickBot="1">
      <c r="E77" s="74" t="s">
        <v>188</v>
      </c>
      <c r="F77" s="75" t="str">
        <f>IF(P77&lt;(O77/2),E47&amp;" - No cumple el promedio Requerido","")</f>
        <v>7. SEGURIDAD DE INFORMACIÓN - No cumple el promedio Requerido</v>
      </c>
      <c r="G77" s="121"/>
      <c r="H77" s="121"/>
      <c r="I77" s="121"/>
      <c r="J77" s="121"/>
      <c r="K77" s="121"/>
      <c r="L77" s="121"/>
      <c r="M77" s="122"/>
      <c r="O77">
        <f>COUNTA(F48:K54)</f>
        <v>7</v>
      </c>
      <c r="P77">
        <f>SUM(M48:M54)</f>
        <v>0</v>
      </c>
      <c r="R77">
        <f>IF(S77=1,COUNT($S$47:S77),"")</f>
        <v>7</v>
      </c>
      <c r="S77">
        <f t="shared" si="2"/>
        <v>1</v>
      </c>
      <c r="T77" t="str">
        <f t="shared" si="3"/>
        <v>7. SEGURIDAD DE INFORMACIÓN - No cumple el promedio Requerido</v>
      </c>
      <c r="U77" t="str">
        <f t="shared" si="4"/>
        <v/>
      </c>
    </row>
    <row r="80" spans="5:21" ht="18.5">
      <c r="E80" s="79" t="s">
        <v>100</v>
      </c>
    </row>
    <row r="82" spans="5:5">
      <c r="E82" t="s">
        <v>189</v>
      </c>
    </row>
    <row r="83" spans="5:5">
      <c r="E83" t="s">
        <v>102</v>
      </c>
    </row>
    <row r="84" spans="5:5">
      <c r="E84" t="s">
        <v>190</v>
      </c>
    </row>
  </sheetData>
  <mergeCells count="82">
    <mergeCell ref="G74:M74"/>
    <mergeCell ref="G75:M75"/>
    <mergeCell ref="G76:M76"/>
    <mergeCell ref="G77:M77"/>
    <mergeCell ref="E68:F68"/>
    <mergeCell ref="I68:L68"/>
    <mergeCell ref="E70:M70"/>
    <mergeCell ref="G71:M71"/>
    <mergeCell ref="G72:M72"/>
    <mergeCell ref="G73:M73"/>
    <mergeCell ref="G63:H63"/>
    <mergeCell ref="I63:K63"/>
    <mergeCell ref="G64:H64"/>
    <mergeCell ref="I64:K64"/>
    <mergeCell ref="G65:H65"/>
    <mergeCell ref="I65:K65"/>
    <mergeCell ref="G60:H60"/>
    <mergeCell ref="I60:K60"/>
    <mergeCell ref="G61:H61"/>
    <mergeCell ref="I61:K61"/>
    <mergeCell ref="G62:H62"/>
    <mergeCell ref="I62:K62"/>
    <mergeCell ref="G57:H57"/>
    <mergeCell ref="I57:K57"/>
    <mergeCell ref="G58:H58"/>
    <mergeCell ref="I58:K58"/>
    <mergeCell ref="G59:H59"/>
    <mergeCell ref="I59:K59"/>
    <mergeCell ref="F49:K49"/>
    <mergeCell ref="F50:K50"/>
    <mergeCell ref="F51:K51"/>
    <mergeCell ref="F52:K52"/>
    <mergeCell ref="F53:K53"/>
    <mergeCell ref="F54:K54"/>
    <mergeCell ref="F43:K43"/>
    <mergeCell ref="F44:K44"/>
    <mergeCell ref="F45:K45"/>
    <mergeCell ref="F46:K46"/>
    <mergeCell ref="E47:L47"/>
    <mergeCell ref="F48:K48"/>
    <mergeCell ref="F37:K37"/>
    <mergeCell ref="E38:L38"/>
    <mergeCell ref="F39:K39"/>
    <mergeCell ref="F40:K40"/>
    <mergeCell ref="F41:K41"/>
    <mergeCell ref="F42:K42"/>
    <mergeCell ref="F31:K31"/>
    <mergeCell ref="F32:K32"/>
    <mergeCell ref="E33:L33"/>
    <mergeCell ref="F34:K34"/>
    <mergeCell ref="F35:K35"/>
    <mergeCell ref="F36:K36"/>
    <mergeCell ref="F25:K25"/>
    <mergeCell ref="F26:K26"/>
    <mergeCell ref="E27:L27"/>
    <mergeCell ref="F28:K28"/>
    <mergeCell ref="F29:K29"/>
    <mergeCell ref="F30:K30"/>
    <mergeCell ref="F19:K19"/>
    <mergeCell ref="F20:K20"/>
    <mergeCell ref="F21:K21"/>
    <mergeCell ref="E22:L22"/>
    <mergeCell ref="F23:K23"/>
    <mergeCell ref="F24:K24"/>
    <mergeCell ref="F13:K13"/>
    <mergeCell ref="F14:K14"/>
    <mergeCell ref="F15:K15"/>
    <mergeCell ref="E16:L16"/>
    <mergeCell ref="F17:K17"/>
    <mergeCell ref="F18:K18"/>
    <mergeCell ref="F7:K7"/>
    <mergeCell ref="E8:L8"/>
    <mergeCell ref="F9:K9"/>
    <mergeCell ref="F10:K10"/>
    <mergeCell ref="F11:K11"/>
    <mergeCell ref="F12:K12"/>
    <mergeCell ref="D1:E4"/>
    <mergeCell ref="F1:H2"/>
    <mergeCell ref="I1:L1"/>
    <mergeCell ref="I2:L2"/>
    <mergeCell ref="F3:H4"/>
    <mergeCell ref="I3:L4"/>
  </mergeCells>
  <conditionalFormatting sqref="I68">
    <cfRule type="cellIs" dxfId="10" priority="9" operator="equal">
      <formula>"RIESGO ALTO"</formula>
    </cfRule>
    <cfRule type="cellIs" dxfId="9" priority="10" operator="equal">
      <formula>"RIESGO MEDIO"</formula>
    </cfRule>
    <cfRule type="cellIs" dxfId="8" priority="11" operator="equal">
      <formula>"RIESGO BAJO"</formula>
    </cfRule>
  </conditionalFormatting>
  <conditionalFormatting sqref="M68">
    <cfRule type="cellIs" dxfId="7" priority="8" operator="equal">
      <formula>"RIESGO MODERADO"</formula>
    </cfRule>
  </conditionalFormatting>
  <conditionalFormatting sqref="G71:M71">
    <cfRule type="expression" dxfId="6" priority="7">
      <formula>$F$71&lt;&gt;$G$71</formula>
    </cfRule>
  </conditionalFormatting>
  <conditionalFormatting sqref="G72:M72">
    <cfRule type="expression" dxfId="5" priority="6">
      <formula>$F$72&lt;&gt;$G$72</formula>
    </cfRule>
  </conditionalFormatting>
  <conditionalFormatting sqref="G73:M73">
    <cfRule type="expression" dxfId="4" priority="5">
      <formula>$F$73&lt;&gt;$G$73</formula>
    </cfRule>
  </conditionalFormatting>
  <conditionalFormatting sqref="G74:M74">
    <cfRule type="expression" dxfId="3" priority="4">
      <formula>$F$74&lt;&gt;$G$74</formula>
    </cfRule>
  </conditionalFormatting>
  <conditionalFormatting sqref="G75:M75">
    <cfRule type="expression" dxfId="2" priority="3">
      <formula>$F$75&lt;&gt;$G$75</formula>
    </cfRule>
  </conditionalFormatting>
  <conditionalFormatting sqref="G76:M76">
    <cfRule type="expression" dxfId="1" priority="2">
      <formula>$F$76&lt;&gt;$G$76</formula>
    </cfRule>
  </conditionalFormatting>
  <conditionalFormatting sqref="G77:M77">
    <cfRule type="expression" dxfId="0" priority="1">
      <formula>$F$77&lt;&gt;$G$77</formula>
    </cfRule>
  </conditionalFormatting>
  <dataValidations count="1">
    <dataValidation type="list" allowBlank="1" showInputMessage="1" showErrorMessage="1" sqref="L23:L26 L9:L15 L28:L32 L34:L37 L48:L54 L39:L46 L17:L21">
      <formula1>#REF!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Administración CF</vt:lpstr>
      <vt:lpstr>LOPCYMAT</vt:lpstr>
      <vt:lpstr>Servicios Sucursal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Rafael Gomez Rodriguez</dc:creator>
  <cp:lastModifiedBy>Carlos Rafael Gomez Rodriguez</cp:lastModifiedBy>
  <dcterms:created xsi:type="dcterms:W3CDTF">2026-10-05T13:32:19Z</dcterms:created>
  <dcterms:modified xsi:type="dcterms:W3CDTF">2026-10-05T15:44:52Z</dcterms:modified>
</cp:coreProperties>
</file>