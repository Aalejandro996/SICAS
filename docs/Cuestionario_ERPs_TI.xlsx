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0.0.71\Corporativo\Seguros Constitucion\Auditoria\Auditoria TI 2026\Levantamiento Información\Gerencia de Sistemas Corporativos\"/>
    </mc:Choice>
  </mc:AlternateContent>
  <bookViews>
    <workbookView xWindow="0" yWindow="0" windowWidth="19200" windowHeight="5890"/>
  </bookViews>
  <sheets>
    <sheet name="ERPs TI" sheetId="1" r:id="rId1"/>
    <sheet name="Datos" sheetId="3" r:id="rId2"/>
    <sheet name="DATA" sheetId="2" state="hidden" r:id="rId3"/>
  </sheets>
  <externalReferences>
    <externalReference r:id="rId4"/>
  </externalReferences>
  <definedNames>
    <definedName name="_xlnm._FilterDatabase" localSheetId="0" hidden="1">'ERPs TI'!$B$7:$I$104</definedName>
  </definedNames>
  <calcPr calcId="162913" iterate="1"/>
  <fileRecoveryPr repairLoad="1"/>
</workbook>
</file>

<file path=xl/calcChain.xml><?xml version="1.0" encoding="utf-8"?>
<calcChain xmlns="http://schemas.openxmlformats.org/spreadsheetml/2006/main">
  <c r="P10" i="1" l="1"/>
  <c r="P9" i="1"/>
  <c r="P8" i="1"/>
  <c r="P6" i="1"/>
  <c r="P5" i="1"/>
  <c r="P4" i="1"/>
  <c r="P3" i="1"/>
  <c r="P2" i="1"/>
  <c r="Q13" i="1" s="1"/>
  <c r="S13" i="1"/>
  <c r="R13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D109" i="1" l="1"/>
  <c r="D108" i="1"/>
  <c r="I113" i="1"/>
  <c r="I112" i="1"/>
  <c r="I111" i="1"/>
  <c r="L104" i="1" l="1"/>
  <c r="G103" i="1"/>
  <c r="G102" i="1"/>
  <c r="G101" i="1"/>
  <c r="G100" i="1"/>
  <c r="G99" i="1"/>
  <c r="P7" i="1" s="1"/>
  <c r="G98" i="1"/>
  <c r="G97" i="1"/>
  <c r="G96" i="1"/>
  <c r="G95" i="1"/>
  <c r="G94" i="1"/>
  <c r="G93" i="1"/>
  <c r="G92" i="1"/>
  <c r="G91" i="1"/>
  <c r="G90" i="1"/>
  <c r="G85" i="1"/>
  <c r="G84" i="1"/>
  <c r="G83" i="1"/>
  <c r="G82" i="1"/>
  <c r="G81" i="1"/>
  <c r="G80" i="1"/>
  <c r="G79" i="1"/>
  <c r="G78" i="1"/>
  <c r="G77" i="1"/>
  <c r="G76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2" i="1"/>
  <c r="G51" i="1"/>
  <c r="G89" i="1" l="1"/>
  <c r="G75" i="1"/>
  <c r="G57" i="1"/>
  <c r="G56" i="1"/>
  <c r="G49" i="1"/>
  <c r="G48" i="1"/>
  <c r="G47" i="1"/>
  <c r="G46" i="1"/>
  <c r="G45" i="1"/>
  <c r="G44" i="1"/>
  <c r="G43" i="1"/>
  <c r="G42" i="1"/>
  <c r="G41" i="1"/>
  <c r="G40" i="1"/>
  <c r="G35" i="1"/>
  <c r="G34" i="1"/>
  <c r="G33" i="1"/>
  <c r="G32" i="1"/>
  <c r="G31" i="1"/>
  <c r="G30" i="1"/>
  <c r="G29" i="1"/>
  <c r="G28" i="1"/>
  <c r="G27" i="1"/>
  <c r="G26" i="1"/>
  <c r="G25" i="1"/>
  <c r="G24" i="1"/>
  <c r="G18" i="1"/>
  <c r="G17" i="1"/>
  <c r="G16" i="1"/>
  <c r="G15" i="1"/>
  <c r="G14" i="1"/>
  <c r="G13" i="1"/>
  <c r="G12" i="1"/>
  <c r="G11" i="1"/>
  <c r="G10" i="1"/>
  <c r="G9" i="1"/>
  <c r="G50" i="1" l="1"/>
  <c r="G39" i="1"/>
  <c r="G20" i="1"/>
  <c r="G19" i="1"/>
  <c r="G8" i="1"/>
  <c r="G107" i="1" l="1"/>
  <c r="O13" i="1" s="1"/>
  <c r="P13" i="1" l="1"/>
</calcChain>
</file>

<file path=xl/sharedStrings.xml><?xml version="1.0" encoding="utf-8"?>
<sst xmlns="http://schemas.openxmlformats.org/spreadsheetml/2006/main" count="388" uniqueCount="184">
  <si>
    <t>ID</t>
  </si>
  <si>
    <t>Existencia del Control</t>
  </si>
  <si>
    <t>Soporte Documental</t>
  </si>
  <si>
    <t>Evidencia / Entregable</t>
  </si>
  <si>
    <t>Puntuación (%)</t>
  </si>
  <si>
    <t>Detalle:</t>
  </si>
  <si>
    <t>(Indique la justificación, evidencia o plan de acción si aplica...)</t>
  </si>
  <si>
    <t>Respuestas</t>
  </si>
  <si>
    <t>Sí</t>
  </si>
  <si>
    <t>No</t>
  </si>
  <si>
    <t>Parcialmente</t>
  </si>
  <si>
    <t>Observaciones</t>
  </si>
  <si>
    <t>Responsable</t>
  </si>
  <si>
    <t>(Indique Nombre del Responsable...)</t>
  </si>
  <si>
    <t>Departamento a Auditar</t>
  </si>
  <si>
    <t>CIBERSEGURIDAD</t>
  </si>
  <si>
    <t>SERVIDORES Y BASE DE DATOS</t>
  </si>
  <si>
    <t>REDES Y TELECOM.</t>
  </si>
  <si>
    <t>MICROINFORMÁTICA</t>
  </si>
  <si>
    <t>SISTEMAS</t>
  </si>
  <si>
    <t>PRUEBAS Y CERTIFICACIONES</t>
  </si>
  <si>
    <t>SISTEMA EMPRESAS</t>
  </si>
  <si>
    <t>Listado de Responsables</t>
  </si>
  <si>
    <t>Pregunta de Auditoría</t>
  </si>
  <si>
    <t xml:space="preserve">Pregunta de Auditoría </t>
  </si>
  <si>
    <t>Resp</t>
  </si>
  <si>
    <t>Si</t>
  </si>
  <si>
    <t>Actualizado</t>
  </si>
  <si>
    <t>Desactualizado</t>
  </si>
  <si>
    <t>Inexistente</t>
  </si>
  <si>
    <t>Carla de Oliveira</t>
  </si>
  <si>
    <t>JEFE SISTEMAS</t>
  </si>
  <si>
    <t>JEFE DE PRUEBAS Y CERTIFICACIONES</t>
  </si>
  <si>
    <t>JEFE DE SISTEMA EMPRESAS</t>
  </si>
  <si>
    <t>JEFE DE SERVIDORES Y BASE DE DATOS</t>
  </si>
  <si>
    <t>JEFE DE REDES Y TELECOM.</t>
  </si>
  <si>
    <t>JEFE DE MICROINFORMÁTICA</t>
  </si>
  <si>
    <t>JEFE DE CIBERSEGURIDAD</t>
  </si>
  <si>
    <t>VICE PRESIDENCIA TI</t>
  </si>
  <si>
    <t>Edgar Rodríguez</t>
  </si>
  <si>
    <t>Juan Mercado</t>
  </si>
  <si>
    <t>Angel Aparicio</t>
  </si>
  <si>
    <t>Moises Ramirez</t>
  </si>
  <si>
    <t>Angel Yánez</t>
  </si>
  <si>
    <t>GERENTE DE SISTEMAS</t>
  </si>
  <si>
    <t>Confirmación</t>
  </si>
  <si>
    <t>Titulo Control</t>
  </si>
  <si>
    <t>Descripcio del Control:</t>
  </si>
  <si>
    <t>ID Control:</t>
  </si>
  <si>
    <t xml:space="preserve">Cuestionario </t>
  </si>
  <si>
    <t>Cargos</t>
  </si>
  <si>
    <t>Herramienta estructurada para evaluar y ponderar el cumplimiento de controles de seguridad de TI.</t>
  </si>
  <si>
    <t>PROMEDIO GENERAL DE CUMPLIMIENTO DE AUDITORÍA</t>
  </si>
  <si>
    <t>Resumen Operativo:</t>
  </si>
  <si>
    <t>¿El ERP genera de forma nativa e inalterable pistas de auditoría (Audit Trails) para las transacciones y cambios del sistema?</t>
  </si>
  <si>
    <t>¿Las pistas de auditoría registradas capturan metadatos completos como fecha, hora, usuario identificable y dirección IP/estación?</t>
  </si>
  <si>
    <t>¿El registro de auditoría del ERP conserva el detalle exacto del valor anterior y el valor posterior ante modificaciones de datos?</t>
  </si>
  <si>
    <t>¿El ERP genera de forma directa y automatizada los reportes de cumplimiento exigidos por reguladores (ej. SUDEASEG / entes fiscales)?</t>
  </si>
  <si>
    <t>¿Se evita la manipulación manual de datos en hojas de cálculo externas para la consolidación de información regulatoria?</t>
  </si>
  <si>
    <t>¿Se encuentran cifrados en reposo (Encryption at Rest) los archivos y datos almacenados en la base de datos principal del ERP?</t>
  </si>
  <si>
    <t>¿Se aplican mecanismos de cifrado específicos sobre campos que contienen información confidencial o sensible de clientes?</t>
  </si>
  <si>
    <t>¿Se realizan análisis periódicos de vulnerabilidades dirigidos a la aplicación, servicios y componentes del ERP?</t>
  </si>
  <si>
    <t>¿Se ejecutan pruebas de penetración (Pentesting) específicas sobre la capa web e interfaces del ERP al menos una vez al año?</t>
  </si>
  <si>
    <t>¿Existe un plan de remediación documentado y monitoreado para corregir las vulnerabilidades halladas en las evaluaciones de seguridad?</t>
  </si>
  <si>
    <t>¿Existe un procedimiento formal para el archivado y depuración (purga de datos) en el ERP para mantener el rendimiento técnico?</t>
  </si>
  <si>
    <t>¿El proceso de depuración y archivado cumple estrictamente con los plazos legales y regulatorios de retención de información?</t>
  </si>
  <si>
    <t>¿Se mantiene la posibilidad de consultar datos históricos archivados sin degradar el desempeño transaccional del entorno de producción?</t>
  </si>
  <si>
    <t>¿Existe una conciliación automatizada para validar la integridad de las interfaces contables que alimentan al ERP desde sistemas periféricos?</t>
  </si>
  <si>
    <t>¿El ERP dispone de alertas automáticas para notificar anomalías transaccionales o múltiples intentos fallidos de acceso a seguridad?</t>
  </si>
  <si>
    <t>¿Cuáles son los módulos operativos habilitados actualmente en la versión en producción del ERP?</t>
  </si>
  <si>
    <t>¿Qué procesos de negocio core (emisión, siniestros, reaseguro, contabilidad) son soportados directamente por el ERP sin herramientas periféricas?</t>
  </si>
  <si>
    <t>¿Existen módulos adquiridos bajo la licencia del ERP que se encuentren totalmente inactivos?</t>
  </si>
  <si>
    <t>¿Se ha identificado alguna funcionalidad habilitada en el ERP que presente un bajo nivel de utilización por los usuarios operativos?</t>
  </si>
  <si>
    <t>¿El ERP cuenta con una clasificación formal de criticidad basada en los resultados del Análisis de Impacto al Negocio (BIA)?</t>
  </si>
  <si>
    <t>¿Está registrado formalmente el nivel de criticidad del ERP dentro de la matriz de riesgos tecnológicos de la organización?</t>
  </si>
  <si>
    <t>¿Cuál es la fecha oficial de Fin de Vida Útil (EOL) declarada por el fabricante para la versión del ERP desplegada?</t>
  </si>
  <si>
    <t>¿Cuál es la fecha límite de Fin de Soporte Técnico (EOS) garantizada por el fabricante para la versión actual?</t>
  </si>
  <si>
    <t>¿Cuenta la organización con un roadmap documentado para la actualización o migración del ERP antes del fin de su soporte?</t>
  </si>
  <si>
    <t>¿Se cuenta con un presupuesto formalmente aprobado para ejecutar el plan de actualización o migración del ERP?</t>
  </si>
  <si>
    <t>¿El plan de migración contempla la actualización o sustitución de los motores de base de datos subyacentes al ERP?</t>
  </si>
  <si>
    <t>¿Existe un inventario actualizado de las personalizaciones (customizations/ABAP/scripts) desarrolladas sobre la versión estándar del ERP?</t>
  </si>
  <si>
    <t>¿Se evalúa periódicamente el impacto técnico que tienen las personalizaciones en la capacidad de actualizar la versión del ERP?</t>
  </si>
  <si>
    <t>¿Cuál es el modelo de arquitectura y despliegue del ERP (desarrollo In-House, COTS On-Premise o SaaS/Cloud)?</t>
  </si>
  <si>
    <t>En desarrollos In-House, ¿se mantiene un repositorio centralizado y protegido para el almacenamiento del código fuente del ERP?</t>
  </si>
  <si>
    <t>En desarrollos In-House, ¿se dispone de documentación actualizada de la arquitectura de software y diccionarios de datos del ERP?</t>
  </si>
  <si>
    <t>En ERPs de terceros (COTS), ¿existe un acuerdo formal de custodia de código fuente (Escrow Agreement) suscrito y vigente?</t>
  </si>
  <si>
    <t>¿Se valida periódicamente que el código depositado en la entidad de custodia (Escrow) corresponda a la versión en producción del ERP?</t>
  </si>
  <si>
    <t>¿El esquema de licenciamiento contratado cubre el número actual de usuarios concurrentes que acceden a la plataforma?</t>
  </si>
  <si>
    <t>¿La licencia contratada del ERP respalda el volumen transaccional operativo real que procesa la organización?</t>
  </si>
  <si>
    <t>¿El contrato de licenciamiento autoriza formalmente la operación bajo el esquema multi-empresa configurado en el sistema?</t>
  </si>
  <si>
    <t>¿Existe un inventario centralizado y actualizado de las APIs, Webhooks y servicios de integración vinculados al ERP?</t>
  </si>
  <si>
    <t>¿Se aplican mecanismos de autenticación segura (ej. tokens API, OAuth) para el acceso a los servicios de integración del ERP?</t>
  </si>
  <si>
    <t>¿Todas las comunicaciones entre el ERP y los sistemas periféricos se transmiten mediante canales cifrados (TLS 1.2+)?</t>
  </si>
  <si>
    <t>¿Se aplican mecanismos de control de límites de tasa (rate limiting) para evitar la saturación o ataques de denegación de servicio sobre las APIs del ERP?</t>
  </si>
  <si>
    <t>¿El ERP tiene parametrizadas Matrices de Aprobación en el sistema para la autorización de transacciones financieras?</t>
  </si>
  <si>
    <t>¿El sistema ejecuta reglas automatizadas de Segregación de Funciones (SoD) para impedir que un usuario cree y apruebe el mismo registro financiero?</t>
  </si>
  <si>
    <t>¿La arquitectura de accesos del ERP está estructurada mediante el esquema de control de acceso basado en roles (RBAC)?</t>
  </si>
  <si>
    <t>¿Se restringe el acceso de los usuarios exclusivamente a las funciones operativas indispensables para su perfil de puesto (Principio de Menor Privilegio)?</t>
  </si>
  <si>
    <t>¿El ERP requiere de un flujo de aprobación jerárquica obligatoria previo al procesamiento de transacciones extraordinarias o ajustes masivos?</t>
  </si>
  <si>
    <t>¿El sistema bloquea automáticamente la ejecución de transacciones fuera de perfil hasta recibir la autorización digital en sistema?</t>
  </si>
  <si>
    <t>¿Existe un procedimiento formal para la baja o deshabilitación inmediata de cuentas en el ERP ante la desvinculación de personal?</t>
  </si>
  <si>
    <t>¿Se efectúan conciliaciones periódicas entre la nómina activa de Talento Humano y las cuentas habilitadas en el ERP?</t>
  </si>
  <si>
    <t>¿Se ajustan de forma inmediata los permisos y roles en el ERP cuando un colaborador cambia de puesto o área organizacional?</t>
  </si>
  <si>
    <t>¿El uso de perfiles con privilegios elevados o 'Superusuario' (ej. SAP_ALL) está restringido al personal estrictamente autorizado?</t>
  </si>
  <si>
    <t>¿Se requiere autenticación de doble factor (MFA) para el inicio de sesión de cuentas administradoras o superusuarios en el ERP?</t>
  </si>
  <si>
    <t>¿Todas las acciones ejecutadas por perfiles de superusuario son registradas y consolidadas en logs de auditoría inalterables?</t>
  </si>
  <si>
    <t>¿Existen revisiones periódicas (mínimo semestrales) de la matriz de roles y privilegios asignados a los usuarios en el ERP?</t>
  </si>
  <si>
    <t>¿Se prohíbe explícitamente el uso de cuentas genéricas o compartidas para operar o administrar la plataforma ERP?</t>
  </si>
  <si>
    <t>¿Existen Acuerdos de Nivel de Servicio (SLA) contractuales y vigentes formalizados con el proveedor del ERP?</t>
  </si>
  <si>
    <t>¿Se definen tiempos máximos de respuesta y resolución (MTTR) según la severidad de los incidentes en el SLA del ERP?</t>
  </si>
  <si>
    <t>¿El contrato con el proveedor contempla penalizaciones financieras por el incumplimiento de las métricas de SLA pactadas?</t>
  </si>
  <si>
    <t>¿Se realizan comités técnicos periódicos con el proveedor para evaluar la gestión operativa y el soporte del ERP?</t>
  </si>
  <si>
    <t>¿Se evalúan métricas de disponibilidad (Uptime) e indicadores de resolución de fallas en las reuniones con el proveedor?</t>
  </si>
  <si>
    <t>¿Se monitorea periódicamente el consumo de capacidad (procesamiento, almacenamiento) para prever requerimientos de infraestructura del ERP?</t>
  </si>
  <si>
    <t>¿Están definidos formalmente el Tiempo Objetivo de Recuperación (RTO) y el Punto Objetivo de Recuperación (RPO) para el ERP?</t>
  </si>
  <si>
    <t>¿El RTO y RPO definidos para el ERP se encuentran alineados con las exigencias de continuidad aprobadas por la alta gerencia?</t>
  </si>
  <si>
    <t>¿El contrato de soporte del ERP garantiza la entrega y aplicación oportuna de parches de seguridad (Patch Management)?</t>
  </si>
  <si>
    <t>¿Las actualizaciones de versión del ERP están cubiertas por la tarifa de mantenimiento sin generar costos adicionales?</t>
  </si>
  <si>
    <t>¿Disponen las áreas operativas core de procedimientos manuales de contingencia (Downtime Procedures) documentados ante caídas del ERP?</t>
  </si>
  <si>
    <t>¿Se han realizado simulacros o capacitaciones sobre el uso de procedimientos manuales ante la indisponibilidad del ERP?</t>
  </si>
  <si>
    <t>¿Se ejecutan pruebas periódicas de restauración de respaldos de la base de datos del ERP para verificar la integridad de la información?</t>
  </si>
  <si>
    <t>¿Se efectúan pruebas de conmutación por error (Failover) hacia la infraestructura de recuperación ante desastres (DRP) al menos una vez al año?</t>
  </si>
  <si>
    <t>¿Se documentan y aprueban formalmente los resultados obtenidos en las pruebas de restauración y conmutación del ERP?</t>
  </si>
  <si>
    <t>¿Existe un procedimiento definido para la puesta al día y sincronización transaccional tras la recuperación del ERP post-contingencia?</t>
  </si>
  <si>
    <t>En ERPs gestionados por terceros (SaaS/Cloud), ¿el proveedor entrega anualmente reportes de aseguramiento de controles (SOC 1 / SOC 2)?</t>
  </si>
  <si>
    <t>¿Los informes SOC proporcionados se encuentran emitidos bajo estándares internacionales reconocidos (ISAE 3402 / SSAE 18)?</t>
  </si>
  <si>
    <t>¿Dispone el proveedor de un informe SOC 1 Tipo II emitido por una firma de auditoría independiente?</t>
  </si>
  <si>
    <t>¿El reporte SOC 1 Tipo II evalúa un período operativo no inferior a 6 meses para validar los controles sobre la información financiera?</t>
  </si>
  <si>
    <t>¿Dispone la organización de un informe SOC 2 Tipo II vigente para la plataforma y servicios del ERP?</t>
  </si>
  <si>
    <t>¿El reporte SOC 2 Tipo II evalúa explícitamente los principios de Seguridad, Disponibilidad y Confidencialidad de la información?</t>
  </si>
  <si>
    <t>¿El área de Auditoría de Sistemas revisa exhaustivamente las desviaciones registradas en la sección de 'Excepciones' de los informes SOC?</t>
  </si>
  <si>
    <t>¿Se elabora una evaluación de riesgo residual interno con base en los hallazgos y excepciones reportadas en el informe SOC?</t>
  </si>
  <si>
    <t>¿Se han identificado los Controles Complementarios de la Entidad Usuaria (CUECs) requeridos por el proveedor en su informe SOC?</t>
  </si>
  <si>
    <t>¿Se evalúa y prueba internamente la efectividad operativa de todos los CUECs bajo responsabilidad de la organización?</t>
  </si>
  <si>
    <t>En ausencia de reportes SOC Tipo II, ¿el contrato reserva el derecho explícito de la organización a auditar (Right to Audit) las instalaciones del proveedor?</t>
  </si>
  <si>
    <t>1. Funcionalidades, Alcance y Ciclo de Vida</t>
  </si>
  <si>
    <t>2. Arquitectura de Software: In-House vs. Tercerizado</t>
  </si>
  <si>
    <t>3. Gestión de Accesos, Roles y Matrices de Aprobación (Seguridad)</t>
  </si>
  <si>
    <t>4. Nivel de Servicio (SLA), Mantenimiento y Continuidad Operativa</t>
  </si>
  <si>
    <t>5. Informes SOC (Control de Organizaciones de Servicio) y Auditoría Externa</t>
  </si>
  <si>
    <t>6. Cumplimiento, Trazabilidad de Datos y Otros Elementos de Valor</t>
  </si>
  <si>
    <t>Revisado por:</t>
  </si>
  <si>
    <t>Fecha ejecución</t>
  </si>
  <si>
    <t>Confirmar</t>
  </si>
  <si>
    <t>Recepción</t>
  </si>
  <si>
    <t>JEFE DE AUDITORIA TI</t>
  </si>
  <si>
    <t>Carlos Gómez</t>
  </si>
  <si>
    <t>GERENTE DE CONTRALORIA</t>
  </si>
  <si>
    <t>Luis Pulido</t>
  </si>
  <si>
    <t>AC-A2-37-08-2026-2</t>
  </si>
  <si>
    <t>Resumen Documentación:</t>
  </si>
  <si>
    <t>Elaborado por:</t>
  </si>
  <si>
    <t>Fecha Recepción</t>
  </si>
  <si>
    <t>Verificado por:</t>
  </si>
  <si>
    <t>Verificación</t>
  </si>
  <si>
    <t>Fecha Verificación</t>
  </si>
  <si>
    <t>Métrica de Valor</t>
  </si>
  <si>
    <t>Descripción Operativa</t>
  </si>
  <si>
    <t>Fórmula de Excel (Español)</t>
  </si>
  <si>
    <t>Total de Controles Evaluados</t>
  </si>
  <si>
    <t>Cuenta el número de ítems auditados en el cuestionario.</t>
  </si>
  <si>
    <t>Controles Cumplidos (Sí)</t>
  </si>
  <si>
    <t>Conteo de controles implementados satisfactoriamente.</t>
  </si>
  <si>
    <t>Controles Documentados</t>
  </si>
  <si>
    <t>Conteo de controles con implementación incompleta.</t>
  </si>
  <si>
    <t>Brechas / Deficiencias (No)</t>
  </si>
  <si>
    <t>Conteo de controles no ejecutados o inexistentes.</t>
  </si>
  <si>
    <t>Tasa de Cumplimiento Efectivo (%)</t>
  </si>
  <si>
    <t>Porcentaje ponderado de cumplimiento asignando 100% a "Sí", 50% a "Parcial" y 0% a "No".</t>
  </si>
  <si>
    <t>Puntaje Ponderado de Madurez</t>
  </si>
  <si>
    <t>Calificación final de 1 a 5 ajustada según el peso específico de cada control.</t>
  </si>
  <si>
    <t>Brechas de Riesgo Alto</t>
  </si>
  <si>
    <t>Cantidad de fallas críticas que requieren corrección inmediata.</t>
  </si>
  <si>
    <t>Brechas de Riesgo Medio</t>
  </si>
  <si>
    <t>Deficiencias moderadas a corregir en plazo medio.</t>
  </si>
  <si>
    <t>Índice de Exposición al Riesgo (%)</t>
  </si>
  <si>
    <t>Porcentaje de controles no cumplidos clasificados bajo riesgo Alto o Medio.</t>
  </si>
  <si>
    <t>Área Evaluada</t>
  </si>
  <si>
    <t>Promedio Cumplimiento (%)</t>
  </si>
  <si>
    <t>Interpretación</t>
  </si>
  <si>
    <t>Cantidad Controles</t>
  </si>
  <si>
    <t>%</t>
  </si>
  <si>
    <t>Cantidad Doc.</t>
  </si>
  <si>
    <t>EVALUACIÓN ERPS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</si>
</sst>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0"/>
      <name val="Calibri"/>
      <family val="2"/>
    </font>
    <font>
      <i/>
      <sz val="10"/>
      <color rgb="FF595959"/>
      <name val="Calibri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1B365D"/>
      <name val="Calibri"/>
      <family val="2"/>
    </font>
    <font>
      <b/>
      <i/>
      <sz val="10"/>
      <color rgb="FF555555"/>
      <name val="Calibri"/>
      <family val="2"/>
    </font>
    <font>
      <b/>
      <sz val="9.5"/>
      <color rgb="FF333333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1B365D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sz val="11.5"/>
      <color rgb="FF1F1F1F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EF5"/>
        <bgColor rgb="FFE8EEF5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medium">
        <color theme="0" tint="-0.499984740745262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theme="0" tint="-0.499984740745262"/>
      </left>
      <right/>
      <top/>
      <bottom style="thin">
        <color rgb="FFA6A6A6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double">
        <color rgb="FF1B365D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0"/>
      </right>
      <top style="thin">
        <color theme="0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24994659260841701"/>
      </bottom>
      <diagonal/>
    </border>
    <border>
      <left style="thin">
        <color theme="0"/>
      </left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/>
      </right>
      <top style="thin">
        <color theme="0" tint="-0.2499465926084170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24994659260841701"/>
      </top>
      <bottom style="thin">
        <color theme="0"/>
      </bottom>
      <diagonal/>
    </border>
    <border>
      <left style="thin">
        <color theme="0"/>
      </left>
      <right style="thin">
        <color theme="0" tint="-0.24994659260841701"/>
      </right>
      <top style="thin">
        <color theme="0" tint="-0.24994659260841701"/>
      </top>
      <bottom style="thin">
        <color theme="0"/>
      </bottom>
      <diagonal/>
    </border>
    <border>
      <left style="thin">
        <color theme="0" tint="-0.2499465926084170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24994659260841701"/>
      </right>
      <top style="thin">
        <color theme="0"/>
      </top>
      <bottom style="thin">
        <color theme="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3">
    <xf numFmtId="0" fontId="0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8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0" borderId="14" xfId="0" applyFont="1" applyBorder="1" applyAlignment="1" applyProtection="1">
      <alignment vertical="center" wrapText="1"/>
      <protection hidden="1"/>
    </xf>
    <xf numFmtId="0" fontId="0" fillId="0" borderId="0" xfId="0"/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7" xfId="0" applyBorder="1" applyAlignment="1" applyProtection="1">
      <protection hidden="1"/>
    </xf>
    <xf numFmtId="0" fontId="0" fillId="0" borderId="8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0" xfId="0" applyBorder="1" applyAlignment="1" applyProtection="1">
      <protection hidden="1"/>
    </xf>
    <xf numFmtId="0" fontId="0" fillId="0" borderId="10" xfId="0" applyBorder="1" applyProtection="1">
      <protection hidden="1"/>
    </xf>
    <xf numFmtId="9" fontId="13" fillId="7" borderId="15" xfId="0" applyNumberFormat="1" applyFont="1" applyFill="1" applyBorder="1" applyAlignment="1" applyProtection="1">
      <alignment horizontal="center" vertical="center"/>
      <protection hidden="1"/>
    </xf>
    <xf numFmtId="0" fontId="12" fillId="0" borderId="9" xfId="0" applyFont="1" applyBorder="1" applyProtection="1">
      <protection hidden="1"/>
    </xf>
    <xf numFmtId="0" fontId="12" fillId="0" borderId="9" xfId="0" applyFont="1" applyBorder="1" applyAlignment="1" applyProtection="1">
      <alignment horizontal="center" wrapText="1"/>
      <protection hidden="1"/>
    </xf>
    <xf numFmtId="0" fontId="11" fillId="0" borderId="0" xfId="0" applyFont="1" applyBorder="1" applyAlignment="1" applyProtection="1">
      <alignment horizontal="center" wrapText="1"/>
      <protection hidden="1"/>
    </xf>
    <xf numFmtId="0" fontId="12" fillId="0" borderId="0" xfId="0" applyFont="1" applyAlignment="1" applyProtection="1">
      <alignment horizontal="center" wrapText="1"/>
      <protection hidden="1"/>
    </xf>
    <xf numFmtId="0" fontId="0" fillId="0" borderId="0" xfId="0" applyAlignment="1" applyProtection="1">
      <alignment horizontal="center" wrapText="1"/>
      <protection hidden="1"/>
    </xf>
    <xf numFmtId="0" fontId="0" fillId="0" borderId="10" xfId="0" applyBorder="1" applyAlignment="1" applyProtection="1">
      <alignment horizontal="center" wrapText="1"/>
      <protection hidden="1"/>
    </xf>
    <xf numFmtId="0" fontId="0" fillId="0" borderId="16" xfId="0" applyBorder="1" applyAlignment="1" applyProtection="1">
      <alignment horizontal="right" vertical="center" wrapText="1"/>
      <protection hidden="1"/>
    </xf>
    <xf numFmtId="0" fontId="14" fillId="8" borderId="16" xfId="0" applyFont="1" applyFill="1" applyBorder="1" applyAlignment="1" applyProtection="1">
      <alignment horizontal="left" vertical="center" wrapText="1"/>
      <protection hidden="1"/>
    </xf>
    <xf numFmtId="0" fontId="0" fillId="0" borderId="16" xfId="0" applyBorder="1" applyAlignment="1" applyProtection="1">
      <alignment horizontal="center" vertical="center" wrapText="1"/>
      <protection hidden="1"/>
    </xf>
    <xf numFmtId="164" fontId="0" fillId="0" borderId="16" xfId="0" applyNumberFormat="1" applyBorder="1" applyAlignment="1" applyProtection="1">
      <alignment horizontal="center" vertical="center" wrapText="1"/>
      <protection hidden="1"/>
    </xf>
    <xf numFmtId="0" fontId="11" fillId="0" borderId="0" xfId="0" applyFont="1" applyBorder="1" applyProtection="1">
      <protection hidden="1"/>
    </xf>
    <xf numFmtId="0" fontId="12" fillId="0" borderId="0" xfId="0" applyFont="1" applyBorder="1" applyAlignment="1" applyProtection="1">
      <protection hidden="1"/>
    </xf>
    <xf numFmtId="0" fontId="12" fillId="0" borderId="11" xfId="0" applyFont="1" applyBorder="1" applyProtection="1">
      <protection hidden="1"/>
    </xf>
    <xf numFmtId="0" fontId="12" fillId="0" borderId="13" xfId="0" applyFont="1" applyBorder="1" applyProtection="1">
      <protection hidden="1"/>
    </xf>
    <xf numFmtId="0" fontId="12" fillId="0" borderId="13" xfId="0" applyFont="1" applyBorder="1" applyAlignment="1" applyProtection="1">
      <protection hidden="1"/>
    </xf>
    <xf numFmtId="0" fontId="0" fillId="0" borderId="13" xfId="0" applyBorder="1" applyProtection="1">
      <protection hidden="1"/>
    </xf>
    <xf numFmtId="0" fontId="0" fillId="0" borderId="12" xfId="0" applyBorder="1" applyProtection="1">
      <protection hidden="1"/>
    </xf>
    <xf numFmtId="0" fontId="3" fillId="8" borderId="17" xfId="0" applyFont="1" applyFill="1" applyBorder="1" applyAlignment="1" applyProtection="1">
      <alignment horizontal="center" vertical="center" wrapText="1"/>
      <protection hidden="1"/>
    </xf>
    <xf numFmtId="0" fontId="3" fillId="8" borderId="18" xfId="0" applyFont="1" applyFill="1" applyBorder="1" applyAlignment="1" applyProtection="1">
      <alignment horizontal="center" vertical="center" wrapText="1"/>
      <protection hidden="1"/>
    </xf>
    <xf numFmtId="0" fontId="3" fillId="8" borderId="19" xfId="0" applyFont="1" applyFill="1" applyBorder="1" applyAlignment="1" applyProtection="1">
      <alignment horizontal="center" vertical="center" wrapText="1"/>
      <protection hidden="1"/>
    </xf>
    <xf numFmtId="0" fontId="3" fillId="8" borderId="20" xfId="0" applyFont="1" applyFill="1" applyBorder="1" applyAlignment="1" applyProtection="1">
      <alignment horizontal="center" vertical="center" wrapText="1"/>
      <protection hidden="1"/>
    </xf>
    <xf numFmtId="0" fontId="3" fillId="8" borderId="21" xfId="0" applyFont="1" applyFill="1" applyBorder="1" applyAlignment="1" applyProtection="1">
      <alignment horizontal="center" vertical="center" wrapText="1"/>
      <protection hidden="1"/>
    </xf>
    <xf numFmtId="0" fontId="3" fillId="8" borderId="22" xfId="0" applyFont="1" applyFill="1" applyBorder="1" applyAlignment="1" applyProtection="1">
      <alignment horizontal="center" vertical="center" wrapText="1"/>
      <protection hidden="1"/>
    </xf>
    <xf numFmtId="0" fontId="3" fillId="8" borderId="23" xfId="0" applyFont="1" applyFill="1" applyBorder="1" applyAlignment="1" applyProtection="1">
      <alignment horizontal="center" vertical="center" wrapText="1"/>
      <protection hidden="1"/>
    </xf>
    <xf numFmtId="0" fontId="3" fillId="8" borderId="24" xfId="0" applyFont="1" applyFill="1" applyBorder="1" applyAlignment="1" applyProtection="1">
      <alignment horizontal="center" vertical="center" wrapText="1"/>
      <protection hidden="1"/>
    </xf>
    <xf numFmtId="0" fontId="3" fillId="8" borderId="25" xfId="0" applyFont="1" applyFill="1" applyBorder="1" applyAlignment="1" applyProtection="1">
      <alignment horizontal="center" vertical="center" wrapText="1"/>
      <protection hidden="1"/>
    </xf>
    <xf numFmtId="0" fontId="16" fillId="0" borderId="26" xfId="0" applyFont="1" applyBorder="1" applyAlignment="1">
      <alignment horizontal="left" vertical="center"/>
    </xf>
    <xf numFmtId="0" fontId="0" fillId="0" borderId="0" xfId="0" applyProtection="1">
      <protection hidden="1"/>
    </xf>
    <xf numFmtId="0" fontId="17" fillId="0" borderId="26" xfId="0" applyFont="1" applyBorder="1" applyAlignment="1">
      <alignment horizontal="left" vertical="center"/>
    </xf>
    <xf numFmtId="0" fontId="18" fillId="0" borderId="26" xfId="0" applyFont="1" applyBorder="1" applyAlignment="1">
      <alignment horizontal="left" vertical="center"/>
    </xf>
    <xf numFmtId="10" fontId="18" fillId="0" borderId="26" xfId="2" applyNumberFormat="1" applyFont="1" applyBorder="1" applyAlignment="1">
      <alignment horizontal="left" vertical="center"/>
    </xf>
    <xf numFmtId="0" fontId="0" fillId="0" borderId="0" xfId="0" applyAlignment="1" applyProtection="1">
      <protection hidden="1"/>
    </xf>
    <xf numFmtId="0" fontId="3" fillId="0" borderId="1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9" fillId="0" borderId="0" xfId="0" applyFont="1" applyBorder="1" applyAlignment="1" applyProtection="1">
      <alignment horizontal="right" vertical="center"/>
      <protection hidden="1"/>
    </xf>
    <xf numFmtId="0" fontId="0" fillId="0" borderId="0" xfId="0" applyBorder="1" applyProtection="1">
      <protection hidden="1"/>
    </xf>
    <xf numFmtId="0" fontId="10" fillId="0" borderId="0" xfId="0" applyFont="1" applyBorder="1" applyAlignment="1" applyProtection="1">
      <alignment horizontal="center" vertical="center"/>
      <protection hidden="1"/>
    </xf>
    <xf numFmtId="0" fontId="5" fillId="0" borderId="0" xfId="0" applyFont="1" applyBorder="1" applyProtection="1">
      <protection hidden="1"/>
    </xf>
    <xf numFmtId="0" fontId="2" fillId="3" borderId="5" xfId="0" applyFont="1" applyFill="1" applyBorder="1" applyAlignment="1">
      <alignment horizontal="center" vertical="center" wrapText="1"/>
    </xf>
    <xf numFmtId="0" fontId="7" fillId="0" borderId="14" xfId="0" applyFont="1" applyBorder="1" applyAlignment="1" applyProtection="1">
      <alignment horizontal="center" vertical="center" wrapText="1"/>
      <protection hidden="1"/>
    </xf>
    <xf numFmtId="0" fontId="6" fillId="6" borderId="14" xfId="0" applyFont="1" applyFill="1" applyBorder="1" applyAlignment="1" applyProtection="1">
      <alignment horizontal="center" vertical="center"/>
      <protection hidden="1"/>
    </xf>
    <xf numFmtId="0" fontId="6" fillId="5" borderId="14" xfId="0" applyFont="1" applyFill="1" applyBorder="1" applyAlignment="1" applyProtection="1">
      <alignment horizontal="center" vertical="center"/>
      <protection hidden="1"/>
    </xf>
    <xf numFmtId="0" fontId="8" fillId="0" borderId="0" xfId="0" applyFont="1" applyBorder="1" applyAlignment="1" applyProtection="1">
      <alignment horizontal="right" vertical="center"/>
      <protection hidden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12"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CheckBox" fmlaLink="$B$111" lockText="1" noThreeD="1"/>
</file>

<file path=xl/ctrlProps/ctrlProp2.xml><?xml version="1.0" encoding="utf-8"?>
<formControlPr xmlns="http://schemas.microsoft.com/office/spreadsheetml/2009/9/main" objectType="CheckBox" fmlaLink="$B$112" lockText="1" noThreeD="1"/>
</file>

<file path=xl/ctrlProps/ctrlProp3.xml><?xml version="1.0" encoding="utf-8"?>
<formControlPr xmlns="http://schemas.microsoft.com/office/spreadsheetml/2009/9/main" objectType="CheckBox" fmlaLink="$B$113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Presentaciones/Agosto/PRESENTACI&#211;N%20PLAN%20DE%20TRABAJO%202026%20-%20VP%20TI.ppt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166688</xdr:rowOff>
    </xdr:from>
    <xdr:to>
      <xdr:col>2</xdr:col>
      <xdr:colOff>695908</xdr:colOff>
      <xdr:row>3</xdr:row>
      <xdr:rowOff>63501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5F69E76C-1042-4AE2-ACD7-32A0F42E8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688"/>
          <a:ext cx="1446002" cy="1035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110</xdr:row>
          <xdr:rowOff>95250</xdr:rowOff>
        </xdr:from>
        <xdr:to>
          <xdr:col>6</xdr:col>
          <xdr:colOff>793750</xdr:colOff>
          <xdr:row>110</xdr:row>
          <xdr:rowOff>317500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111</xdr:row>
          <xdr:rowOff>69850</xdr:rowOff>
        </xdr:from>
        <xdr:to>
          <xdr:col>6</xdr:col>
          <xdr:colOff>793750</xdr:colOff>
          <xdr:row>111</xdr:row>
          <xdr:rowOff>285750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112</xdr:row>
          <xdr:rowOff>95250</xdr:rowOff>
        </xdr:from>
        <xdr:to>
          <xdr:col>6</xdr:col>
          <xdr:colOff>793750</xdr:colOff>
          <xdr:row>112</xdr:row>
          <xdr:rowOff>323850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57150</xdr:rowOff>
    </xdr:from>
    <xdr:to>
      <xdr:col>3</xdr:col>
      <xdr:colOff>0</xdr:colOff>
      <xdr:row>1</xdr:row>
      <xdr:rowOff>373515</xdr:rowOff>
    </xdr:to>
    <xdr:sp macro="" textlink="">
      <xdr:nvSpPr>
        <xdr:cNvPr id="2" name="Flecha: hacia la izquierda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E0EFCF-8664-EC85-E882-1F2CC34CD858}"/>
            </a:ext>
          </a:extLst>
        </xdr:cNvPr>
        <xdr:cNvSpPr/>
      </xdr:nvSpPr>
      <xdr:spPr>
        <a:xfrm>
          <a:off x="11163300" y="57150"/>
          <a:ext cx="876738" cy="506865"/>
        </a:xfrm>
        <a:prstGeom prst="leftArrow">
          <a:avLst/>
        </a:prstGeom>
        <a:solidFill>
          <a:srgbClr val="FFC00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>
          <a:defPPr>
            <a:defRPr lang="es-V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VE" b="1">
            <a:ln/>
            <a:solidFill>
              <a:schemeClr val="accent4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Seguros%20Constitucion\Auditoria\Contraloria\2026\SISTEMAS\Plan%20de%20Trabajo\2026\2do%20Sem\Evaluaciones\Cuestionario_Ciberseguridad_T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14"/>
  <sheetViews>
    <sheetView showGridLines="0" tabSelected="1" zoomScale="80" zoomScaleNormal="80" workbookViewId="0">
      <selection activeCell="D99" sqref="D99:F103"/>
    </sheetView>
  </sheetViews>
  <sheetFormatPr baseColWidth="10" defaultColWidth="9.1796875" defaultRowHeight="14.5" x14ac:dyDescent="0.35"/>
  <cols>
    <col min="1" max="1" width="3.26953125" customWidth="1"/>
    <col min="2" max="2" width="8" customWidth="1"/>
    <col min="3" max="3" width="55.7265625" customWidth="1"/>
    <col min="4" max="6" width="17.1796875" customWidth="1"/>
    <col min="7" max="7" width="15.54296875" customWidth="1"/>
    <col min="8" max="8" width="12.54296875" customWidth="1"/>
    <col min="9" max="9" width="45.81640625" customWidth="1"/>
    <col min="10" max="10" width="3.7265625" customWidth="1"/>
    <col min="11" max="11" width="0" hidden="1" customWidth="1"/>
    <col min="12" max="12" width="9.1796875" hidden="1" customWidth="1"/>
    <col min="13" max="20" width="0" hidden="1" customWidth="1"/>
  </cols>
  <sheetData>
    <row r="1" spans="1:19" ht="36.75" customHeight="1" thickBot="1" x14ac:dyDescent="0.4">
      <c r="D1" s="76" t="s">
        <v>46</v>
      </c>
      <c r="E1" s="76"/>
      <c r="F1" s="21" t="s">
        <v>49</v>
      </c>
      <c r="G1" s="74" t="s">
        <v>21</v>
      </c>
      <c r="H1" s="74"/>
      <c r="I1" s="74"/>
      <c r="K1" s="22"/>
      <c r="L1" s="22"/>
      <c r="M1" s="22"/>
      <c r="N1" s="58" t="s">
        <v>156</v>
      </c>
      <c r="O1" s="58" t="s">
        <v>157</v>
      </c>
      <c r="P1" s="58" t="s">
        <v>158</v>
      </c>
      <c r="Q1" s="59"/>
      <c r="R1" s="59"/>
      <c r="S1" s="59"/>
    </row>
    <row r="2" spans="1:19" ht="36.75" customHeight="1" thickBot="1" x14ac:dyDescent="0.4">
      <c r="D2" s="76" t="s">
        <v>47</v>
      </c>
      <c r="E2" s="76"/>
      <c r="F2" s="74" t="s">
        <v>51</v>
      </c>
      <c r="G2" s="74"/>
      <c r="H2" s="74"/>
      <c r="I2" s="74"/>
      <c r="K2" s="22"/>
      <c r="L2" s="22"/>
      <c r="M2" s="22"/>
      <c r="N2" s="58" t="s">
        <v>159</v>
      </c>
      <c r="O2" s="60" t="s">
        <v>160</v>
      </c>
      <c r="P2" s="61">
        <f>COUNT(K8:K103)</f>
        <v>96</v>
      </c>
      <c r="Q2" s="59"/>
      <c r="R2" s="59"/>
      <c r="S2" s="59"/>
    </row>
    <row r="3" spans="1:19" ht="16" thickBot="1" x14ac:dyDescent="0.4">
      <c r="D3" s="76" t="s">
        <v>48</v>
      </c>
      <c r="E3" s="76"/>
      <c r="F3" s="75" t="s">
        <v>149</v>
      </c>
      <c r="G3" s="75"/>
      <c r="H3" s="75"/>
      <c r="I3" s="75"/>
      <c r="K3" s="22"/>
      <c r="L3" s="22"/>
      <c r="M3" s="22"/>
      <c r="N3" s="58" t="s">
        <v>161</v>
      </c>
      <c r="O3" s="60" t="s">
        <v>162</v>
      </c>
      <c r="P3" s="61">
        <f>COUNTIF(D8:D103, "Si")</f>
        <v>0</v>
      </c>
      <c r="Q3" s="59"/>
      <c r="R3" s="59"/>
      <c r="S3" s="59"/>
    </row>
    <row r="4" spans="1:19" ht="16" thickBot="1" x14ac:dyDescent="0.4">
      <c r="K4" s="22"/>
      <c r="L4" s="22"/>
      <c r="M4" s="22"/>
      <c r="N4" s="58" t="s">
        <v>163</v>
      </c>
      <c r="O4" s="60" t="s">
        <v>164</v>
      </c>
      <c r="P4" s="61">
        <f>COUNTIF(E8:E103, "Si")</f>
        <v>0</v>
      </c>
      <c r="Q4" s="59"/>
      <c r="R4" s="59"/>
      <c r="S4" s="59"/>
    </row>
    <row r="5" spans="1:19" ht="16" thickBot="1" x14ac:dyDescent="0.4">
      <c r="A5" s="13"/>
      <c r="B5" s="14"/>
      <c r="C5" s="14"/>
      <c r="D5" s="14"/>
      <c r="E5" s="14"/>
      <c r="F5" s="14"/>
      <c r="G5" s="14"/>
      <c r="H5" s="14"/>
      <c r="I5" s="14"/>
      <c r="J5" s="15"/>
      <c r="K5" s="22"/>
      <c r="L5" s="22"/>
      <c r="M5" s="22"/>
      <c r="N5" s="58" t="s">
        <v>165</v>
      </c>
      <c r="O5" s="60" t="s">
        <v>166</v>
      </c>
      <c r="P5" s="61">
        <f>COUNTIF(F8:F103, "Inexistente")</f>
        <v>0</v>
      </c>
      <c r="Q5" s="59"/>
      <c r="R5" s="59"/>
      <c r="S5" s="59"/>
    </row>
    <row r="6" spans="1:19" ht="15" customHeight="1" thickBot="1" x14ac:dyDescent="0.4">
      <c r="A6" s="16"/>
      <c r="B6" s="68" t="s">
        <v>135</v>
      </c>
      <c r="C6" s="68"/>
      <c r="D6" s="68"/>
      <c r="E6" s="68"/>
      <c r="F6" s="68"/>
      <c r="G6" s="68"/>
      <c r="H6" s="68"/>
      <c r="I6" s="68"/>
      <c r="J6" s="17"/>
      <c r="K6" s="22"/>
      <c r="L6" s="22"/>
      <c r="M6" s="22"/>
      <c r="N6" s="58" t="s">
        <v>167</v>
      </c>
      <c r="O6" s="60" t="s">
        <v>168</v>
      </c>
      <c r="P6" s="62">
        <f>(COUNTIF(D8:D103,"Si")+(COUNTIF(E8:E103,"SI")+(COUNTIF(F8:F103,"Actualizado")*0.5))/COUNT(K8:K103))*0.01</f>
        <v>0</v>
      </c>
      <c r="Q6" s="59"/>
      <c r="R6" s="59"/>
      <c r="S6" s="59"/>
    </row>
    <row r="7" spans="1:19" ht="29.5" thickBot="1" x14ac:dyDescent="0.4">
      <c r="A7" s="16"/>
      <c r="B7" s="6" t="s">
        <v>0</v>
      </c>
      <c r="C7" s="6" t="s">
        <v>23</v>
      </c>
      <c r="D7" s="6" t="s">
        <v>1</v>
      </c>
      <c r="E7" s="6" t="s">
        <v>2</v>
      </c>
      <c r="F7" s="6" t="s">
        <v>3</v>
      </c>
      <c r="G7" s="6" t="s">
        <v>4</v>
      </c>
      <c r="H7" s="73" t="s">
        <v>11</v>
      </c>
      <c r="I7" s="73"/>
      <c r="J7" s="17"/>
      <c r="K7" s="22"/>
      <c r="L7" s="22"/>
      <c r="M7" s="22"/>
      <c r="N7" s="58" t="s">
        <v>169</v>
      </c>
      <c r="O7" s="60" t="s">
        <v>170</v>
      </c>
      <c r="P7" s="61" t="e">
        <f>SUMPRODUCT((D8:D103="Si")*1 + (E8:E103="Si")*0.5, F8:F103="Actualizado") / SUM(G8:G103) * 5</f>
        <v>#DIV/0!</v>
      </c>
      <c r="Q7" s="59"/>
      <c r="R7" s="59"/>
      <c r="S7" s="59"/>
    </row>
    <row r="8" spans="1:19" ht="40" customHeight="1" thickBot="1" x14ac:dyDescent="0.4">
      <c r="A8" s="16"/>
      <c r="B8" s="7">
        <v>1</v>
      </c>
      <c r="C8" s="8" t="s">
        <v>69</v>
      </c>
      <c r="D8" s="52"/>
      <c r="E8" s="53"/>
      <c r="F8" s="54"/>
      <c r="G8" s="9" t="str">
        <f>IF(D8="","",IF(D8="No",0,0.4+IF(E8="Si",0.3,0)+IF(F8="Actualizado",0.3,IF(F8="Desactualizado",0.15,0))))</f>
        <v/>
      </c>
      <c r="H8" s="10" t="s">
        <v>5</v>
      </c>
      <c r="I8" s="11" t="s">
        <v>6</v>
      </c>
      <c r="J8" s="17"/>
      <c r="K8" s="59">
        <f>IF(H8="Detalle:",1,0)</f>
        <v>1</v>
      </c>
      <c r="L8" s="22" t="str">
        <f>IF(E8="","",IF(AND(E8="No",F8&lt;&gt;"Inexistente"),1,0))</f>
        <v/>
      </c>
      <c r="M8" s="22"/>
      <c r="N8" s="58" t="s">
        <v>171</v>
      </c>
      <c r="O8" s="60" t="s">
        <v>172</v>
      </c>
      <c r="P8" s="61">
        <f>COUNTIFS(D8:D103, "No", E8:E103, "No",F8:F103,"Inexistente")</f>
        <v>0</v>
      </c>
      <c r="Q8" s="59"/>
      <c r="R8" s="59"/>
      <c r="S8" s="59"/>
    </row>
    <row r="9" spans="1:19" ht="40" customHeight="1" thickBot="1" x14ac:dyDescent="0.4">
      <c r="A9" s="16"/>
      <c r="B9" s="7">
        <v>2</v>
      </c>
      <c r="C9" s="8" t="s">
        <v>70</v>
      </c>
      <c r="D9" s="55"/>
      <c r="E9" s="56"/>
      <c r="F9" s="57"/>
      <c r="G9" s="9" t="str">
        <f t="shared" ref="G9:G18" si="0">IF(D9="","",IF(D9="No",0,0.4+IF(E9="Si",0.3,0)+IF(F9="Actualizado",0.3,IF(F9="Desactualizado",0.15,0))))</f>
        <v/>
      </c>
      <c r="H9" s="10" t="s">
        <v>5</v>
      </c>
      <c r="I9" s="11" t="s">
        <v>6</v>
      </c>
      <c r="J9" s="17"/>
      <c r="K9" s="59">
        <f t="shared" ref="K9:K72" si="1">IF(H9="Detalle:",1,0)</f>
        <v>1</v>
      </c>
      <c r="L9" s="22" t="str">
        <f t="shared" ref="L9:L72" si="2">IF(E9="","",IF(AND(E9="No",F9&lt;&gt;"Inexistente"),1,0))</f>
        <v/>
      </c>
      <c r="M9" s="22"/>
      <c r="N9" s="58" t="s">
        <v>173</v>
      </c>
      <c r="O9" s="60" t="s">
        <v>174</v>
      </c>
      <c r="P9" s="61">
        <f>COUNTIFS(D8:D103, "Si", E8:E103, "Si",F8:F103,"Desactualizado")</f>
        <v>0</v>
      </c>
      <c r="Q9" s="59"/>
      <c r="R9" s="59"/>
      <c r="S9" s="59"/>
    </row>
    <row r="10" spans="1:19" ht="40" customHeight="1" thickBot="1" x14ac:dyDescent="0.4">
      <c r="A10" s="16"/>
      <c r="B10" s="7">
        <v>3</v>
      </c>
      <c r="C10" s="8" t="s">
        <v>71</v>
      </c>
      <c r="D10" s="55"/>
      <c r="E10" s="56"/>
      <c r="F10" s="57"/>
      <c r="G10" s="9" t="str">
        <f t="shared" si="0"/>
        <v/>
      </c>
      <c r="H10" s="10" t="s">
        <v>5</v>
      </c>
      <c r="I10" s="11" t="s">
        <v>6</v>
      </c>
      <c r="J10" s="17"/>
      <c r="K10" s="59">
        <f t="shared" si="1"/>
        <v>1</v>
      </c>
      <c r="L10" s="22" t="str">
        <f t="shared" si="2"/>
        <v/>
      </c>
      <c r="M10" s="22"/>
      <c r="N10" s="58" t="s">
        <v>175</v>
      </c>
      <c r="O10" s="60" t="s">
        <v>176</v>
      </c>
      <c r="P10" s="62">
        <f>COUNTIFS(D8:D103, "No", E8:E103, "no") / COUNT(K8:K103)</f>
        <v>0</v>
      </c>
      <c r="Q10" s="59"/>
      <c r="R10" s="59"/>
      <c r="S10" s="59"/>
    </row>
    <row r="11" spans="1:19" ht="40" customHeight="1" x14ac:dyDescent="0.35">
      <c r="A11" s="16"/>
      <c r="B11" s="7">
        <v>4</v>
      </c>
      <c r="C11" s="8" t="s">
        <v>72</v>
      </c>
      <c r="D11" s="55"/>
      <c r="E11" s="56"/>
      <c r="F11" s="57"/>
      <c r="G11" s="9" t="str">
        <f t="shared" si="0"/>
        <v/>
      </c>
      <c r="H11" s="10" t="s">
        <v>5</v>
      </c>
      <c r="I11" s="11" t="s">
        <v>6</v>
      </c>
      <c r="J11" s="17"/>
      <c r="K11" s="59">
        <f t="shared" si="1"/>
        <v>1</v>
      </c>
      <c r="L11" s="22" t="str">
        <f t="shared" si="2"/>
        <v/>
      </c>
      <c r="M11" s="22"/>
      <c r="N11" s="63"/>
      <c r="O11" s="63"/>
      <c r="P11" s="63"/>
      <c r="Q11" s="59"/>
      <c r="R11" s="59"/>
      <c r="S11" s="59"/>
    </row>
    <row r="12" spans="1:19" ht="40" customHeight="1" x14ac:dyDescent="0.35">
      <c r="A12" s="16"/>
      <c r="B12" s="7">
        <v>5</v>
      </c>
      <c r="C12" s="8" t="s">
        <v>73</v>
      </c>
      <c r="D12" s="55"/>
      <c r="E12" s="56"/>
      <c r="F12" s="57"/>
      <c r="G12" s="9" t="str">
        <f t="shared" si="0"/>
        <v/>
      </c>
      <c r="H12" s="10" t="s">
        <v>5</v>
      </c>
      <c r="I12" s="11" t="s">
        <v>6</v>
      </c>
      <c r="J12" s="17"/>
      <c r="K12" s="59">
        <f t="shared" si="1"/>
        <v>1</v>
      </c>
      <c r="L12" s="22" t="str">
        <f t="shared" si="2"/>
        <v/>
      </c>
      <c r="M12" s="22"/>
      <c r="N12" s="1" t="s">
        <v>177</v>
      </c>
      <c r="O12" s="1" t="s">
        <v>178</v>
      </c>
      <c r="P12" s="1" t="s">
        <v>179</v>
      </c>
      <c r="Q12" s="1" t="s">
        <v>180</v>
      </c>
      <c r="R12" s="1" t="s">
        <v>181</v>
      </c>
      <c r="S12" s="1" t="s">
        <v>182</v>
      </c>
    </row>
    <row r="13" spans="1:19" ht="40" customHeight="1" x14ac:dyDescent="0.35">
      <c r="A13" s="16"/>
      <c r="B13" s="7">
        <v>6</v>
      </c>
      <c r="C13" s="8" t="s">
        <v>74</v>
      </c>
      <c r="D13" s="55"/>
      <c r="E13" s="56"/>
      <c r="F13" s="57"/>
      <c r="G13" s="9" t="str">
        <f t="shared" si="0"/>
        <v/>
      </c>
      <c r="H13" s="10" t="s">
        <v>5</v>
      </c>
      <c r="I13" s="11" t="s">
        <v>6</v>
      </c>
      <c r="J13" s="17"/>
      <c r="K13" s="59">
        <f t="shared" si="1"/>
        <v>1</v>
      </c>
      <c r="L13" s="22" t="str">
        <f t="shared" si="2"/>
        <v/>
      </c>
      <c r="M13" s="22"/>
      <c r="N13" s="64" t="s">
        <v>183</v>
      </c>
      <c r="O13" s="65" t="str">
        <f>G107</f>
        <v/>
      </c>
      <c r="P13" s="64" t="str">
        <f>IF(O13="","",IF(O13&gt;=0.8,"Óptimo",IF(O13&gt;=0.6,"Aceptable","Crítico")))</f>
        <v/>
      </c>
      <c r="Q13" s="66">
        <f>P2</f>
        <v>96</v>
      </c>
      <c r="R13" s="67" t="e">
        <f>AVERAGEIF(D8:D103,"SI",G8:G103)</f>
        <v>#DIV/0!</v>
      </c>
      <c r="S13" s="66">
        <f>COUNTIF(E8:E103,"SI")</f>
        <v>0</v>
      </c>
    </row>
    <row r="14" spans="1:19" ht="40" customHeight="1" x14ac:dyDescent="0.35">
      <c r="A14" s="16"/>
      <c r="B14" s="7">
        <v>7</v>
      </c>
      <c r="C14" s="8" t="s">
        <v>75</v>
      </c>
      <c r="D14" s="55"/>
      <c r="E14" s="56"/>
      <c r="F14" s="57"/>
      <c r="G14" s="9" t="str">
        <f t="shared" si="0"/>
        <v/>
      </c>
      <c r="H14" s="10" t="s">
        <v>5</v>
      </c>
      <c r="I14" s="11" t="s">
        <v>6</v>
      </c>
      <c r="J14" s="17"/>
      <c r="K14" s="59">
        <f t="shared" si="1"/>
        <v>1</v>
      </c>
      <c r="L14" s="22" t="str">
        <f t="shared" si="2"/>
        <v/>
      </c>
      <c r="M14" s="22"/>
      <c r="N14" s="22"/>
      <c r="O14" s="22"/>
      <c r="P14" s="22"/>
      <c r="Q14" s="22"/>
      <c r="R14" s="22"/>
      <c r="S14" s="22"/>
    </row>
    <row r="15" spans="1:19" ht="40" customHeight="1" x14ac:dyDescent="0.35">
      <c r="A15" s="16"/>
      <c r="B15" s="7">
        <v>8</v>
      </c>
      <c r="C15" s="8" t="s">
        <v>76</v>
      </c>
      <c r="D15" s="55"/>
      <c r="E15" s="56"/>
      <c r="F15" s="57"/>
      <c r="G15" s="9" t="str">
        <f t="shared" si="0"/>
        <v/>
      </c>
      <c r="H15" s="10" t="s">
        <v>5</v>
      </c>
      <c r="I15" s="11" t="s">
        <v>6</v>
      </c>
      <c r="J15" s="17"/>
      <c r="K15" s="59">
        <f t="shared" si="1"/>
        <v>1</v>
      </c>
      <c r="L15" s="22" t="str">
        <f t="shared" si="2"/>
        <v/>
      </c>
      <c r="M15" s="22"/>
      <c r="N15" s="22"/>
      <c r="O15" s="22"/>
      <c r="P15" s="22"/>
      <c r="Q15" s="22"/>
    </row>
    <row r="16" spans="1:19" ht="40" customHeight="1" x14ac:dyDescent="0.35">
      <c r="A16" s="16"/>
      <c r="B16" s="7">
        <v>9</v>
      </c>
      <c r="C16" s="8" t="s">
        <v>77</v>
      </c>
      <c r="D16" s="55"/>
      <c r="E16" s="56"/>
      <c r="F16" s="57"/>
      <c r="G16" s="9" t="str">
        <f t="shared" si="0"/>
        <v/>
      </c>
      <c r="H16" s="10" t="s">
        <v>5</v>
      </c>
      <c r="I16" s="11" t="s">
        <v>6</v>
      </c>
      <c r="J16" s="17"/>
      <c r="K16" s="59">
        <f t="shared" si="1"/>
        <v>1</v>
      </c>
      <c r="L16" s="22" t="str">
        <f t="shared" si="2"/>
        <v/>
      </c>
      <c r="M16" s="22"/>
      <c r="N16" s="22"/>
      <c r="O16" s="22"/>
      <c r="P16" s="22"/>
      <c r="Q16" s="22"/>
    </row>
    <row r="17" spans="1:17" ht="40" customHeight="1" x14ac:dyDescent="0.35">
      <c r="A17" s="16"/>
      <c r="B17" s="7">
        <v>10</v>
      </c>
      <c r="C17" s="8" t="s">
        <v>78</v>
      </c>
      <c r="D17" s="55"/>
      <c r="E17" s="56"/>
      <c r="F17" s="57"/>
      <c r="G17" s="9" t="str">
        <f t="shared" si="0"/>
        <v/>
      </c>
      <c r="H17" s="10" t="s">
        <v>5</v>
      </c>
      <c r="I17" s="11" t="s">
        <v>6</v>
      </c>
      <c r="J17" s="17"/>
      <c r="K17" s="59">
        <f t="shared" si="1"/>
        <v>1</v>
      </c>
      <c r="L17" s="22" t="str">
        <f t="shared" si="2"/>
        <v/>
      </c>
      <c r="M17" s="22"/>
      <c r="N17" s="22"/>
      <c r="O17" s="22"/>
      <c r="P17" s="22"/>
      <c r="Q17" s="22"/>
    </row>
    <row r="18" spans="1:17" ht="40" customHeight="1" x14ac:dyDescent="0.35">
      <c r="A18" s="16"/>
      <c r="B18" s="7">
        <v>11</v>
      </c>
      <c r="C18" s="8" t="s">
        <v>79</v>
      </c>
      <c r="D18" s="55"/>
      <c r="E18" s="56"/>
      <c r="F18" s="57"/>
      <c r="G18" s="9" t="str">
        <f t="shared" si="0"/>
        <v/>
      </c>
      <c r="H18" s="10" t="s">
        <v>5</v>
      </c>
      <c r="I18" s="11" t="s">
        <v>6</v>
      </c>
      <c r="J18" s="17"/>
      <c r="K18" s="59">
        <f t="shared" si="1"/>
        <v>1</v>
      </c>
      <c r="L18" s="22" t="str">
        <f t="shared" si="2"/>
        <v/>
      </c>
      <c r="M18" s="22"/>
      <c r="N18" s="22"/>
      <c r="O18" s="22"/>
      <c r="P18" s="22"/>
      <c r="Q18" s="22"/>
    </row>
    <row r="19" spans="1:17" ht="40" customHeight="1" x14ac:dyDescent="0.35">
      <c r="A19" s="16"/>
      <c r="B19" s="7">
        <v>12</v>
      </c>
      <c r="C19" s="8" t="s">
        <v>80</v>
      </c>
      <c r="D19" s="55"/>
      <c r="E19" s="56"/>
      <c r="F19" s="57"/>
      <c r="G19" s="9" t="str">
        <f>IF(D19="","",IF(D19="No",0,0.4+IF(E19="Si",0.3,0)+IF(F19="Actualizado",0.3,IF(F19="Desactualizado",0.15,0))))</f>
        <v/>
      </c>
      <c r="H19" s="10" t="s">
        <v>5</v>
      </c>
      <c r="I19" s="11" t="s">
        <v>6</v>
      </c>
      <c r="J19" s="17"/>
      <c r="K19" s="59">
        <f t="shared" si="1"/>
        <v>1</v>
      </c>
      <c r="L19" s="22" t="str">
        <f t="shared" si="2"/>
        <v/>
      </c>
      <c r="M19" s="22"/>
      <c r="N19" s="22"/>
      <c r="O19" s="22"/>
      <c r="P19" s="22"/>
      <c r="Q19" s="22"/>
    </row>
    <row r="20" spans="1:17" ht="40" customHeight="1" x14ac:dyDescent="0.35">
      <c r="A20" s="16"/>
      <c r="B20" s="7">
        <v>13</v>
      </c>
      <c r="C20" s="8" t="s">
        <v>81</v>
      </c>
      <c r="D20" s="49"/>
      <c r="E20" s="50"/>
      <c r="F20" s="51"/>
      <c r="G20" s="9" t="str">
        <f>IF(D20="","",IF(D20="No",0,0.4+IF(E20="Si",0.3,0)+IF(F20="Actualizado",0.3,IF(F20="Desactualizado",0.15,0))))</f>
        <v/>
      </c>
      <c r="H20" s="10" t="s">
        <v>5</v>
      </c>
      <c r="I20" s="11" t="s">
        <v>6</v>
      </c>
      <c r="J20" s="17"/>
      <c r="K20" s="59">
        <f t="shared" si="1"/>
        <v>1</v>
      </c>
      <c r="L20" s="22" t="str">
        <f t="shared" si="2"/>
        <v/>
      </c>
      <c r="M20" s="22"/>
      <c r="N20" s="22"/>
      <c r="O20" s="22"/>
    </row>
    <row r="21" spans="1:17" x14ac:dyDescent="0.35">
      <c r="A21" s="16"/>
      <c r="B21" s="12"/>
      <c r="C21" s="12"/>
      <c r="D21" s="12"/>
      <c r="E21" s="12"/>
      <c r="F21" s="12"/>
      <c r="G21" s="12"/>
      <c r="H21" s="12"/>
      <c r="I21" s="12"/>
      <c r="J21" s="17"/>
      <c r="K21" s="59">
        <f t="shared" si="1"/>
        <v>0</v>
      </c>
      <c r="L21" s="22" t="str">
        <f t="shared" si="2"/>
        <v/>
      </c>
    </row>
    <row r="22" spans="1:17" ht="15" customHeight="1" x14ac:dyDescent="0.35">
      <c r="A22" s="16"/>
      <c r="B22" s="68" t="s">
        <v>136</v>
      </c>
      <c r="C22" s="68"/>
      <c r="D22" s="68"/>
      <c r="E22" s="68"/>
      <c r="F22" s="68"/>
      <c r="G22" s="68"/>
      <c r="H22" s="68"/>
      <c r="I22" s="68"/>
      <c r="J22" s="17"/>
      <c r="K22" s="59">
        <f t="shared" si="1"/>
        <v>0</v>
      </c>
      <c r="L22" s="22" t="str">
        <f t="shared" si="2"/>
        <v/>
      </c>
      <c r="O22" s="22"/>
    </row>
    <row r="23" spans="1:17" ht="29" x14ac:dyDescent="0.35">
      <c r="A23" s="16"/>
      <c r="B23" s="6" t="s">
        <v>0</v>
      </c>
      <c r="C23" s="6" t="s">
        <v>23</v>
      </c>
      <c r="D23" s="6" t="s">
        <v>1</v>
      </c>
      <c r="E23" s="6" t="s">
        <v>2</v>
      </c>
      <c r="F23" s="6" t="s">
        <v>3</v>
      </c>
      <c r="G23" s="6" t="s">
        <v>4</v>
      </c>
      <c r="H23" s="73" t="s">
        <v>11</v>
      </c>
      <c r="I23" s="73"/>
      <c r="J23" s="17"/>
      <c r="K23" s="59">
        <f t="shared" si="1"/>
        <v>0</v>
      </c>
      <c r="L23" s="22">
        <f t="shared" si="2"/>
        <v>0</v>
      </c>
      <c r="O23" s="22"/>
      <c r="P23" s="22"/>
      <c r="Q23" s="22"/>
    </row>
    <row r="24" spans="1:17" ht="40" customHeight="1" x14ac:dyDescent="0.35">
      <c r="A24" s="16"/>
      <c r="B24" s="7">
        <v>14</v>
      </c>
      <c r="C24" s="8" t="s">
        <v>82</v>
      </c>
      <c r="D24" s="55"/>
      <c r="E24" s="56"/>
      <c r="F24" s="57"/>
      <c r="G24" s="9" t="str">
        <f t="shared" ref="G24:G35" si="3">IF(D24="","",IF(D24="No",0,0.4+IF(E24="Si",0.3,0)+IF(F24="Actualizado",0.3,IF(F24="Desactualizado",0.15,0))))</f>
        <v/>
      </c>
      <c r="H24" s="10" t="s">
        <v>5</v>
      </c>
      <c r="I24" s="11" t="s">
        <v>6</v>
      </c>
      <c r="J24" s="17"/>
      <c r="K24" s="59">
        <f t="shared" si="1"/>
        <v>1</v>
      </c>
      <c r="L24" s="22" t="str">
        <f t="shared" si="2"/>
        <v/>
      </c>
      <c r="O24" s="22"/>
      <c r="P24" s="22"/>
      <c r="Q24" s="22"/>
    </row>
    <row r="25" spans="1:17" ht="40" customHeight="1" x14ac:dyDescent="0.35">
      <c r="A25" s="16"/>
      <c r="B25" s="7">
        <v>15</v>
      </c>
      <c r="C25" s="8" t="s">
        <v>83</v>
      </c>
      <c r="D25" s="55"/>
      <c r="E25" s="56"/>
      <c r="F25" s="57"/>
      <c r="G25" s="9" t="str">
        <f t="shared" si="3"/>
        <v/>
      </c>
      <c r="H25" s="10" t="s">
        <v>5</v>
      </c>
      <c r="I25" s="11" t="s">
        <v>6</v>
      </c>
      <c r="J25" s="17"/>
      <c r="K25" s="59">
        <f t="shared" si="1"/>
        <v>1</v>
      </c>
      <c r="L25" s="22" t="str">
        <f t="shared" si="2"/>
        <v/>
      </c>
      <c r="O25" s="22"/>
      <c r="P25" s="22"/>
      <c r="Q25" s="22"/>
    </row>
    <row r="26" spans="1:17" ht="40" customHeight="1" x14ac:dyDescent="0.35">
      <c r="A26" s="16"/>
      <c r="B26" s="7">
        <v>16</v>
      </c>
      <c r="C26" s="8" t="s">
        <v>84</v>
      </c>
      <c r="D26" s="55"/>
      <c r="E26" s="56"/>
      <c r="F26" s="57"/>
      <c r="G26" s="9" t="str">
        <f t="shared" si="3"/>
        <v/>
      </c>
      <c r="H26" s="10" t="s">
        <v>5</v>
      </c>
      <c r="I26" s="11" t="s">
        <v>6</v>
      </c>
      <c r="J26" s="17"/>
      <c r="K26" s="59">
        <f t="shared" si="1"/>
        <v>1</v>
      </c>
      <c r="L26" s="22" t="str">
        <f t="shared" si="2"/>
        <v/>
      </c>
      <c r="O26" s="22"/>
      <c r="P26" s="22"/>
      <c r="Q26" s="22"/>
    </row>
    <row r="27" spans="1:17" ht="40" customHeight="1" x14ac:dyDescent="0.35">
      <c r="A27" s="16"/>
      <c r="B27" s="7">
        <v>17</v>
      </c>
      <c r="C27" s="8" t="s">
        <v>85</v>
      </c>
      <c r="D27" s="55"/>
      <c r="E27" s="56"/>
      <c r="F27" s="57"/>
      <c r="G27" s="9" t="str">
        <f t="shared" si="3"/>
        <v/>
      </c>
      <c r="H27" s="10" t="s">
        <v>5</v>
      </c>
      <c r="I27" s="11" t="s">
        <v>6</v>
      </c>
      <c r="J27" s="17"/>
      <c r="K27" s="59">
        <f t="shared" si="1"/>
        <v>1</v>
      </c>
      <c r="L27" s="22" t="str">
        <f t="shared" si="2"/>
        <v/>
      </c>
      <c r="O27" s="22"/>
      <c r="P27" s="22"/>
      <c r="Q27" s="22"/>
    </row>
    <row r="28" spans="1:17" ht="40" customHeight="1" x14ac:dyDescent="0.35">
      <c r="A28" s="16"/>
      <c r="B28" s="7">
        <v>18</v>
      </c>
      <c r="C28" s="8" t="s">
        <v>86</v>
      </c>
      <c r="D28" s="55"/>
      <c r="E28" s="56"/>
      <c r="F28" s="57"/>
      <c r="G28" s="9" t="str">
        <f t="shared" si="3"/>
        <v/>
      </c>
      <c r="H28" s="10" t="s">
        <v>5</v>
      </c>
      <c r="I28" s="11" t="s">
        <v>6</v>
      </c>
      <c r="J28" s="17"/>
      <c r="K28" s="59">
        <f t="shared" si="1"/>
        <v>1</v>
      </c>
      <c r="L28" s="22" t="str">
        <f t="shared" si="2"/>
        <v/>
      </c>
      <c r="O28" s="22"/>
      <c r="P28" s="22"/>
      <c r="Q28" s="22"/>
    </row>
    <row r="29" spans="1:17" ht="40" customHeight="1" x14ac:dyDescent="0.35">
      <c r="A29" s="16"/>
      <c r="B29" s="7">
        <v>19</v>
      </c>
      <c r="C29" s="8" t="s">
        <v>87</v>
      </c>
      <c r="D29" s="55"/>
      <c r="E29" s="56"/>
      <c r="F29" s="57"/>
      <c r="G29" s="9" t="str">
        <f t="shared" si="3"/>
        <v/>
      </c>
      <c r="H29" s="10" t="s">
        <v>5</v>
      </c>
      <c r="I29" s="11" t="s">
        <v>6</v>
      </c>
      <c r="J29" s="17"/>
      <c r="K29" s="59">
        <f t="shared" si="1"/>
        <v>1</v>
      </c>
      <c r="L29" s="22" t="str">
        <f t="shared" si="2"/>
        <v/>
      </c>
      <c r="O29" s="22"/>
      <c r="P29" s="22"/>
      <c r="Q29" s="22"/>
    </row>
    <row r="30" spans="1:17" ht="40" customHeight="1" x14ac:dyDescent="0.35">
      <c r="A30" s="16"/>
      <c r="B30" s="7">
        <v>20</v>
      </c>
      <c r="C30" s="8" t="s">
        <v>88</v>
      </c>
      <c r="D30" s="55"/>
      <c r="E30" s="56"/>
      <c r="F30" s="57"/>
      <c r="G30" s="9" t="str">
        <f t="shared" si="3"/>
        <v/>
      </c>
      <c r="H30" s="10" t="s">
        <v>5</v>
      </c>
      <c r="I30" s="11" t="s">
        <v>6</v>
      </c>
      <c r="J30" s="17"/>
      <c r="K30" s="59">
        <f t="shared" si="1"/>
        <v>1</v>
      </c>
      <c r="L30" s="22" t="str">
        <f t="shared" si="2"/>
        <v/>
      </c>
      <c r="O30" s="22"/>
      <c r="P30" s="22"/>
      <c r="Q30" s="22"/>
    </row>
    <row r="31" spans="1:17" ht="40" customHeight="1" x14ac:dyDescent="0.35">
      <c r="A31" s="16"/>
      <c r="B31" s="7">
        <v>21</v>
      </c>
      <c r="C31" s="8" t="s">
        <v>89</v>
      </c>
      <c r="D31" s="55"/>
      <c r="E31" s="56"/>
      <c r="F31" s="57"/>
      <c r="G31" s="9" t="str">
        <f t="shared" si="3"/>
        <v/>
      </c>
      <c r="H31" s="10" t="s">
        <v>5</v>
      </c>
      <c r="I31" s="11" t="s">
        <v>6</v>
      </c>
      <c r="J31" s="17"/>
      <c r="K31" s="59">
        <f t="shared" si="1"/>
        <v>1</v>
      </c>
      <c r="L31" s="22" t="str">
        <f t="shared" si="2"/>
        <v/>
      </c>
      <c r="O31" s="22"/>
      <c r="P31" s="22"/>
      <c r="Q31" s="22"/>
    </row>
    <row r="32" spans="1:17" ht="40" customHeight="1" x14ac:dyDescent="0.35">
      <c r="A32" s="16"/>
      <c r="B32" s="7">
        <v>22</v>
      </c>
      <c r="C32" s="8" t="s">
        <v>90</v>
      </c>
      <c r="D32" s="55"/>
      <c r="E32" s="56"/>
      <c r="F32" s="57"/>
      <c r="G32" s="9" t="str">
        <f t="shared" si="3"/>
        <v/>
      </c>
      <c r="H32" s="10" t="s">
        <v>5</v>
      </c>
      <c r="I32" s="11" t="s">
        <v>6</v>
      </c>
      <c r="J32" s="17"/>
      <c r="K32" s="59">
        <f t="shared" si="1"/>
        <v>1</v>
      </c>
      <c r="L32" s="22" t="str">
        <f t="shared" si="2"/>
        <v/>
      </c>
      <c r="O32" s="22"/>
      <c r="P32" s="22"/>
      <c r="Q32" s="22"/>
    </row>
    <row r="33" spans="1:17" ht="40" customHeight="1" x14ac:dyDescent="0.35">
      <c r="A33" s="16"/>
      <c r="B33" s="7">
        <v>23</v>
      </c>
      <c r="C33" s="8" t="s">
        <v>91</v>
      </c>
      <c r="D33" s="55"/>
      <c r="E33" s="56"/>
      <c r="F33" s="57"/>
      <c r="G33" s="9" t="str">
        <f t="shared" si="3"/>
        <v/>
      </c>
      <c r="H33" s="10" t="s">
        <v>5</v>
      </c>
      <c r="I33" s="11" t="s">
        <v>6</v>
      </c>
      <c r="J33" s="17"/>
      <c r="K33" s="59">
        <f t="shared" si="1"/>
        <v>1</v>
      </c>
      <c r="L33" s="22" t="str">
        <f t="shared" si="2"/>
        <v/>
      </c>
      <c r="O33" s="22"/>
      <c r="P33" s="22"/>
      <c r="Q33" s="22"/>
    </row>
    <row r="34" spans="1:17" ht="40" customHeight="1" x14ac:dyDescent="0.35">
      <c r="A34" s="16"/>
      <c r="B34" s="7">
        <v>24</v>
      </c>
      <c r="C34" s="8" t="s">
        <v>92</v>
      </c>
      <c r="D34" s="55"/>
      <c r="E34" s="56"/>
      <c r="F34" s="57"/>
      <c r="G34" s="9" t="str">
        <f t="shared" si="3"/>
        <v/>
      </c>
      <c r="H34" s="10" t="s">
        <v>5</v>
      </c>
      <c r="I34" s="11" t="s">
        <v>6</v>
      </c>
      <c r="J34" s="17"/>
      <c r="K34" s="59">
        <f t="shared" si="1"/>
        <v>1</v>
      </c>
      <c r="L34" s="22" t="str">
        <f t="shared" si="2"/>
        <v/>
      </c>
      <c r="O34" s="22"/>
      <c r="P34" s="22"/>
      <c r="Q34" s="22"/>
    </row>
    <row r="35" spans="1:17" ht="40" customHeight="1" x14ac:dyDescent="0.35">
      <c r="A35" s="16"/>
      <c r="B35" s="7">
        <v>25</v>
      </c>
      <c r="C35" s="8" t="s">
        <v>93</v>
      </c>
      <c r="D35" s="55"/>
      <c r="E35" s="56"/>
      <c r="F35" s="57"/>
      <c r="G35" s="9" t="str">
        <f t="shared" si="3"/>
        <v/>
      </c>
      <c r="H35" s="10" t="s">
        <v>5</v>
      </c>
      <c r="I35" s="11" t="s">
        <v>6</v>
      </c>
      <c r="J35" s="17"/>
      <c r="K35" s="59">
        <f t="shared" si="1"/>
        <v>1</v>
      </c>
      <c r="L35" s="22" t="str">
        <f t="shared" si="2"/>
        <v/>
      </c>
      <c r="O35" s="22"/>
      <c r="P35" s="22"/>
      <c r="Q35" s="22"/>
    </row>
    <row r="36" spans="1:17" x14ac:dyDescent="0.35">
      <c r="A36" s="16"/>
      <c r="B36" s="12"/>
      <c r="C36" s="12"/>
      <c r="D36" s="12"/>
      <c r="E36" s="12"/>
      <c r="F36" s="12"/>
      <c r="G36" s="12"/>
      <c r="H36" s="12"/>
      <c r="I36" s="12"/>
      <c r="J36" s="17"/>
      <c r="K36" s="59">
        <f t="shared" si="1"/>
        <v>0</v>
      </c>
      <c r="L36" s="22" t="str">
        <f t="shared" si="2"/>
        <v/>
      </c>
    </row>
    <row r="37" spans="1:17" ht="15" customHeight="1" x14ac:dyDescent="0.35">
      <c r="A37" s="16"/>
      <c r="B37" s="68" t="s">
        <v>137</v>
      </c>
      <c r="C37" s="68"/>
      <c r="D37" s="68"/>
      <c r="E37" s="68"/>
      <c r="F37" s="68"/>
      <c r="G37" s="68"/>
      <c r="H37" s="68"/>
      <c r="I37" s="68"/>
      <c r="J37" s="17"/>
      <c r="K37" s="59">
        <f t="shared" si="1"/>
        <v>0</v>
      </c>
      <c r="L37" s="22" t="str">
        <f t="shared" si="2"/>
        <v/>
      </c>
      <c r="O37" s="22"/>
    </row>
    <row r="38" spans="1:17" ht="29" x14ac:dyDescent="0.35">
      <c r="A38" s="16"/>
      <c r="B38" s="6" t="s">
        <v>0</v>
      </c>
      <c r="C38" s="6" t="s">
        <v>24</v>
      </c>
      <c r="D38" s="6" t="s">
        <v>1</v>
      </c>
      <c r="E38" s="6" t="s">
        <v>2</v>
      </c>
      <c r="F38" s="6" t="s">
        <v>3</v>
      </c>
      <c r="G38" s="6" t="s">
        <v>4</v>
      </c>
      <c r="H38" s="73" t="s">
        <v>11</v>
      </c>
      <c r="I38" s="73"/>
      <c r="J38" s="17"/>
      <c r="K38" s="59">
        <f t="shared" si="1"/>
        <v>0</v>
      </c>
      <c r="L38" s="22">
        <f t="shared" si="2"/>
        <v>0</v>
      </c>
      <c r="O38" s="22"/>
      <c r="P38" s="22"/>
      <c r="Q38" s="22"/>
    </row>
    <row r="39" spans="1:17" ht="40" customHeight="1" x14ac:dyDescent="0.35">
      <c r="A39" s="16"/>
      <c r="B39" s="7">
        <v>26</v>
      </c>
      <c r="C39" s="8" t="s">
        <v>94</v>
      </c>
      <c r="D39" s="55"/>
      <c r="E39" s="56"/>
      <c r="F39" s="57"/>
      <c r="G39" s="9" t="str">
        <f t="shared" ref="G39:G50" si="4">IF(D39="","",IF(D39="No",0,0.4+IF(E39="Si",0.3,0)+IF(F39="Actualizado",0.3,IF(F39="Desactualizado",0.15,0))))</f>
        <v/>
      </c>
      <c r="H39" s="10" t="s">
        <v>5</v>
      </c>
      <c r="I39" s="11" t="s">
        <v>6</v>
      </c>
      <c r="J39" s="17"/>
      <c r="K39" s="59">
        <f t="shared" si="1"/>
        <v>1</v>
      </c>
      <c r="L39" s="22" t="str">
        <f t="shared" si="2"/>
        <v/>
      </c>
      <c r="O39" s="22"/>
      <c r="P39" s="22"/>
      <c r="Q39" s="22"/>
    </row>
    <row r="40" spans="1:17" ht="40" customHeight="1" x14ac:dyDescent="0.35">
      <c r="A40" s="16"/>
      <c r="B40" s="7">
        <v>27</v>
      </c>
      <c r="C40" s="8" t="s">
        <v>95</v>
      </c>
      <c r="D40" s="55"/>
      <c r="E40" s="56"/>
      <c r="F40" s="57"/>
      <c r="G40" s="9" t="str">
        <f t="shared" si="4"/>
        <v/>
      </c>
      <c r="H40" s="10" t="s">
        <v>5</v>
      </c>
      <c r="I40" s="11" t="s">
        <v>6</v>
      </c>
      <c r="J40" s="17"/>
      <c r="K40" s="59">
        <f t="shared" si="1"/>
        <v>1</v>
      </c>
      <c r="L40" s="22" t="str">
        <f t="shared" si="2"/>
        <v/>
      </c>
      <c r="O40" s="22"/>
      <c r="P40" s="22"/>
      <c r="Q40" s="22"/>
    </row>
    <row r="41" spans="1:17" ht="40" customHeight="1" x14ac:dyDescent="0.35">
      <c r="A41" s="16"/>
      <c r="B41" s="7">
        <v>28</v>
      </c>
      <c r="C41" s="8" t="s">
        <v>96</v>
      </c>
      <c r="D41" s="55"/>
      <c r="E41" s="56"/>
      <c r="F41" s="57"/>
      <c r="G41" s="9" t="str">
        <f t="shared" si="4"/>
        <v/>
      </c>
      <c r="H41" s="10" t="s">
        <v>5</v>
      </c>
      <c r="I41" s="11" t="s">
        <v>6</v>
      </c>
      <c r="J41" s="17"/>
      <c r="K41" s="59">
        <f t="shared" si="1"/>
        <v>1</v>
      </c>
      <c r="L41" s="22" t="str">
        <f t="shared" si="2"/>
        <v/>
      </c>
      <c r="O41" s="22"/>
      <c r="P41" s="22"/>
      <c r="Q41" s="22"/>
    </row>
    <row r="42" spans="1:17" ht="40" customHeight="1" x14ac:dyDescent="0.35">
      <c r="A42" s="16"/>
      <c r="B42" s="7">
        <v>29</v>
      </c>
      <c r="C42" s="8" t="s">
        <v>97</v>
      </c>
      <c r="D42" s="55"/>
      <c r="E42" s="56"/>
      <c r="F42" s="57"/>
      <c r="G42" s="9" t="str">
        <f t="shared" si="4"/>
        <v/>
      </c>
      <c r="H42" s="10" t="s">
        <v>5</v>
      </c>
      <c r="I42" s="11" t="s">
        <v>6</v>
      </c>
      <c r="J42" s="17"/>
      <c r="K42" s="59">
        <f t="shared" si="1"/>
        <v>1</v>
      </c>
      <c r="L42" s="22" t="str">
        <f t="shared" si="2"/>
        <v/>
      </c>
      <c r="O42" s="22"/>
      <c r="P42" s="22"/>
      <c r="Q42" s="22"/>
    </row>
    <row r="43" spans="1:17" ht="40" customHeight="1" x14ac:dyDescent="0.35">
      <c r="A43" s="16"/>
      <c r="B43" s="7">
        <v>30</v>
      </c>
      <c r="C43" s="8" t="s">
        <v>98</v>
      </c>
      <c r="D43" s="55"/>
      <c r="E43" s="56"/>
      <c r="F43" s="57"/>
      <c r="G43" s="9" t="str">
        <f t="shared" si="4"/>
        <v/>
      </c>
      <c r="H43" s="10" t="s">
        <v>5</v>
      </c>
      <c r="I43" s="11" t="s">
        <v>6</v>
      </c>
      <c r="J43" s="17"/>
      <c r="K43" s="59">
        <f t="shared" si="1"/>
        <v>1</v>
      </c>
      <c r="L43" s="22" t="str">
        <f t="shared" si="2"/>
        <v/>
      </c>
      <c r="O43" s="22"/>
      <c r="P43" s="22"/>
      <c r="Q43" s="22"/>
    </row>
    <row r="44" spans="1:17" ht="40" customHeight="1" x14ac:dyDescent="0.35">
      <c r="A44" s="16"/>
      <c r="B44" s="7">
        <v>31</v>
      </c>
      <c r="C44" s="8" t="s">
        <v>99</v>
      </c>
      <c r="D44" s="55"/>
      <c r="E44" s="56"/>
      <c r="F44" s="57"/>
      <c r="G44" s="9" t="str">
        <f t="shared" si="4"/>
        <v/>
      </c>
      <c r="H44" s="10" t="s">
        <v>5</v>
      </c>
      <c r="I44" s="11" t="s">
        <v>6</v>
      </c>
      <c r="J44" s="17"/>
      <c r="K44" s="59">
        <f t="shared" si="1"/>
        <v>1</v>
      </c>
      <c r="L44" s="22" t="str">
        <f t="shared" si="2"/>
        <v/>
      </c>
      <c r="O44" s="22"/>
      <c r="P44" s="22"/>
      <c r="Q44" s="22"/>
    </row>
    <row r="45" spans="1:17" ht="40" customHeight="1" x14ac:dyDescent="0.35">
      <c r="A45" s="16"/>
      <c r="B45" s="7">
        <v>32</v>
      </c>
      <c r="C45" s="8" t="s">
        <v>100</v>
      </c>
      <c r="D45" s="55"/>
      <c r="E45" s="56"/>
      <c r="F45" s="57"/>
      <c r="G45" s="9" t="str">
        <f t="shared" si="4"/>
        <v/>
      </c>
      <c r="H45" s="10" t="s">
        <v>5</v>
      </c>
      <c r="I45" s="11" t="s">
        <v>6</v>
      </c>
      <c r="J45" s="17"/>
      <c r="K45" s="59">
        <f t="shared" si="1"/>
        <v>1</v>
      </c>
      <c r="L45" s="22" t="str">
        <f t="shared" si="2"/>
        <v/>
      </c>
      <c r="O45" s="22"/>
      <c r="P45" s="22"/>
      <c r="Q45" s="22"/>
    </row>
    <row r="46" spans="1:17" ht="40" customHeight="1" x14ac:dyDescent="0.35">
      <c r="A46" s="16"/>
      <c r="B46" s="7">
        <v>33</v>
      </c>
      <c r="C46" s="8" t="s">
        <v>101</v>
      </c>
      <c r="D46" s="55"/>
      <c r="E46" s="56"/>
      <c r="F46" s="57"/>
      <c r="G46" s="9" t="str">
        <f t="shared" si="4"/>
        <v/>
      </c>
      <c r="H46" s="10" t="s">
        <v>5</v>
      </c>
      <c r="I46" s="11" t="s">
        <v>6</v>
      </c>
      <c r="J46" s="17"/>
      <c r="K46" s="59">
        <f t="shared" si="1"/>
        <v>1</v>
      </c>
      <c r="L46" s="22" t="str">
        <f t="shared" si="2"/>
        <v/>
      </c>
      <c r="O46" s="22"/>
      <c r="P46" s="22"/>
      <c r="Q46" s="22"/>
    </row>
    <row r="47" spans="1:17" ht="40" customHeight="1" x14ac:dyDescent="0.35">
      <c r="A47" s="16"/>
      <c r="B47" s="7">
        <v>34</v>
      </c>
      <c r="C47" s="8" t="s">
        <v>102</v>
      </c>
      <c r="D47" s="55"/>
      <c r="E47" s="56"/>
      <c r="F47" s="57"/>
      <c r="G47" s="9" t="str">
        <f t="shared" si="4"/>
        <v/>
      </c>
      <c r="H47" s="10" t="s">
        <v>5</v>
      </c>
      <c r="I47" s="11" t="s">
        <v>6</v>
      </c>
      <c r="J47" s="17"/>
      <c r="K47" s="59">
        <f t="shared" si="1"/>
        <v>1</v>
      </c>
      <c r="L47" s="22" t="str">
        <f t="shared" si="2"/>
        <v/>
      </c>
      <c r="O47" s="22"/>
      <c r="P47" s="22"/>
      <c r="Q47" s="22"/>
    </row>
    <row r="48" spans="1:17" ht="40" customHeight="1" x14ac:dyDescent="0.35">
      <c r="A48" s="16"/>
      <c r="B48" s="7">
        <v>35</v>
      </c>
      <c r="C48" s="8" t="s">
        <v>103</v>
      </c>
      <c r="D48" s="55"/>
      <c r="E48" s="56"/>
      <c r="F48" s="57"/>
      <c r="G48" s="9" t="str">
        <f t="shared" si="4"/>
        <v/>
      </c>
      <c r="H48" s="10" t="s">
        <v>5</v>
      </c>
      <c r="I48" s="11" t="s">
        <v>6</v>
      </c>
      <c r="J48" s="17"/>
      <c r="K48" s="59">
        <f t="shared" si="1"/>
        <v>1</v>
      </c>
      <c r="L48" s="22" t="str">
        <f t="shared" si="2"/>
        <v/>
      </c>
      <c r="O48" s="22"/>
      <c r="P48" s="22"/>
      <c r="Q48" s="22"/>
    </row>
    <row r="49" spans="1:21" ht="40" customHeight="1" x14ac:dyDescent="0.35">
      <c r="A49" s="16"/>
      <c r="B49" s="7">
        <v>36</v>
      </c>
      <c r="C49" s="8" t="s">
        <v>104</v>
      </c>
      <c r="D49" s="55"/>
      <c r="E49" s="56"/>
      <c r="F49" s="57"/>
      <c r="G49" s="9" t="str">
        <f t="shared" si="4"/>
        <v/>
      </c>
      <c r="H49" s="10" t="s">
        <v>5</v>
      </c>
      <c r="I49" s="11" t="s">
        <v>6</v>
      </c>
      <c r="J49" s="17"/>
      <c r="K49" s="59">
        <f t="shared" si="1"/>
        <v>1</v>
      </c>
      <c r="L49" s="22" t="str">
        <f t="shared" si="2"/>
        <v/>
      </c>
      <c r="O49" s="22"/>
      <c r="P49" s="22"/>
      <c r="Q49" s="22"/>
    </row>
    <row r="50" spans="1:21" ht="40" customHeight="1" x14ac:dyDescent="0.35">
      <c r="A50" s="16"/>
      <c r="B50" s="7">
        <v>37</v>
      </c>
      <c r="C50" s="8" t="s">
        <v>105</v>
      </c>
      <c r="D50" s="55"/>
      <c r="E50" s="56"/>
      <c r="F50" s="57"/>
      <c r="G50" s="9" t="str">
        <f t="shared" si="4"/>
        <v/>
      </c>
      <c r="H50" s="10" t="s">
        <v>5</v>
      </c>
      <c r="I50" s="11" t="s">
        <v>6</v>
      </c>
      <c r="J50" s="17"/>
      <c r="K50" s="59">
        <f t="shared" si="1"/>
        <v>1</v>
      </c>
      <c r="L50" s="22" t="str">
        <f t="shared" si="2"/>
        <v/>
      </c>
      <c r="O50" s="22"/>
      <c r="P50" s="22"/>
      <c r="Q50" s="22"/>
    </row>
    <row r="51" spans="1:21" s="22" customFormat="1" ht="40" customHeight="1" x14ac:dyDescent="0.35">
      <c r="A51" s="16"/>
      <c r="B51" s="7">
        <v>38</v>
      </c>
      <c r="C51" s="8" t="s">
        <v>106</v>
      </c>
      <c r="D51" s="55"/>
      <c r="E51" s="56"/>
      <c r="F51" s="57"/>
      <c r="G51" s="9" t="str">
        <f>IF(D51="","",IF(D51="No",0,0.4+IF(E51="Si",0.3,0)+IF(F51="Actualizado",0.3,IF(F51="Desactualizado",0.15,0))))</f>
        <v/>
      </c>
      <c r="H51" s="10" t="s">
        <v>5</v>
      </c>
      <c r="I51" s="11" t="s">
        <v>6</v>
      </c>
      <c r="J51" s="17"/>
      <c r="K51" s="59">
        <f t="shared" si="1"/>
        <v>1</v>
      </c>
      <c r="L51" s="22" t="str">
        <f t="shared" si="2"/>
        <v/>
      </c>
      <c r="R51"/>
      <c r="S51"/>
      <c r="T51"/>
      <c r="U51"/>
    </row>
    <row r="52" spans="1:21" s="22" customFormat="1" ht="40" customHeight="1" x14ac:dyDescent="0.35">
      <c r="A52" s="16"/>
      <c r="B52" s="7">
        <v>39</v>
      </c>
      <c r="C52" s="8" t="s">
        <v>107</v>
      </c>
      <c r="D52" s="55"/>
      <c r="E52" s="56"/>
      <c r="F52" s="57"/>
      <c r="G52" s="9" t="str">
        <f>IF(D52="","",IF(D52="No",0,0.4+IF(E52="Si",0.3,0)+IF(F52="Actualizado",0.3,IF(F52="Desactualizado",0.15,0))))</f>
        <v/>
      </c>
      <c r="H52" s="10" t="s">
        <v>5</v>
      </c>
      <c r="I52" s="11" t="s">
        <v>6</v>
      </c>
      <c r="J52" s="17"/>
      <c r="K52" s="59">
        <f t="shared" si="1"/>
        <v>1</v>
      </c>
      <c r="L52" s="22" t="str">
        <f t="shared" si="2"/>
        <v/>
      </c>
      <c r="R52"/>
      <c r="S52"/>
      <c r="T52"/>
      <c r="U52"/>
    </row>
    <row r="53" spans="1:21" x14ac:dyDescent="0.35">
      <c r="A53" s="16"/>
      <c r="B53" s="12"/>
      <c r="C53" s="12"/>
      <c r="D53" s="12"/>
      <c r="E53" s="12"/>
      <c r="F53" s="12"/>
      <c r="G53" s="12"/>
      <c r="H53" s="12"/>
      <c r="I53" s="12"/>
      <c r="J53" s="17"/>
      <c r="K53" s="59">
        <f t="shared" si="1"/>
        <v>0</v>
      </c>
      <c r="L53" s="22" t="str">
        <f t="shared" si="2"/>
        <v/>
      </c>
    </row>
    <row r="54" spans="1:21" ht="15" customHeight="1" x14ac:dyDescent="0.35">
      <c r="A54" s="16"/>
      <c r="B54" s="68" t="s">
        <v>138</v>
      </c>
      <c r="C54" s="68"/>
      <c r="D54" s="68"/>
      <c r="E54" s="68"/>
      <c r="F54" s="68"/>
      <c r="G54" s="68"/>
      <c r="H54" s="68"/>
      <c r="I54" s="68"/>
      <c r="J54" s="17"/>
      <c r="K54" s="59">
        <f t="shared" si="1"/>
        <v>0</v>
      </c>
      <c r="L54" s="22" t="str">
        <f t="shared" si="2"/>
        <v/>
      </c>
      <c r="O54" s="22"/>
    </row>
    <row r="55" spans="1:21" ht="29" x14ac:dyDescent="0.35">
      <c r="A55" s="16"/>
      <c r="B55" s="6" t="s">
        <v>0</v>
      </c>
      <c r="C55" s="6" t="s">
        <v>24</v>
      </c>
      <c r="D55" s="6" t="s">
        <v>1</v>
      </c>
      <c r="E55" s="6" t="s">
        <v>2</v>
      </c>
      <c r="F55" s="6" t="s">
        <v>3</v>
      </c>
      <c r="G55" s="6" t="s">
        <v>4</v>
      </c>
      <c r="H55" s="73" t="s">
        <v>11</v>
      </c>
      <c r="I55" s="73"/>
      <c r="J55" s="17"/>
      <c r="K55" s="59">
        <f t="shared" si="1"/>
        <v>0</v>
      </c>
      <c r="L55" s="22">
        <f t="shared" si="2"/>
        <v>0</v>
      </c>
      <c r="O55" s="22"/>
      <c r="P55" s="22"/>
      <c r="Q55" s="22"/>
    </row>
    <row r="56" spans="1:21" ht="40" customHeight="1" x14ac:dyDescent="0.35">
      <c r="A56" s="16"/>
      <c r="B56" s="7">
        <v>40</v>
      </c>
      <c r="C56" s="8" t="s">
        <v>108</v>
      </c>
      <c r="D56" s="55"/>
      <c r="E56" s="56"/>
      <c r="F56" s="57"/>
      <c r="G56" s="9" t="str">
        <f>IF(D56="","",IF(D56="No",0,0.4+IF(E56="Si",0.3,0)+IF(F56="Actualizado",0.3,IF(F56="Desactualizado",0.15,0))))</f>
        <v/>
      </c>
      <c r="H56" s="10" t="s">
        <v>5</v>
      </c>
      <c r="I56" s="11" t="s">
        <v>6</v>
      </c>
      <c r="J56" s="17"/>
      <c r="K56" s="59">
        <f t="shared" si="1"/>
        <v>1</v>
      </c>
      <c r="L56" s="22" t="str">
        <f t="shared" si="2"/>
        <v/>
      </c>
      <c r="O56" s="22"/>
      <c r="P56" s="22"/>
      <c r="Q56" s="22"/>
    </row>
    <row r="57" spans="1:21" ht="40" customHeight="1" x14ac:dyDescent="0.35">
      <c r="A57" s="16"/>
      <c r="B57" s="7">
        <v>41</v>
      </c>
      <c r="C57" s="8" t="s">
        <v>109</v>
      </c>
      <c r="D57" s="55"/>
      <c r="E57" s="56"/>
      <c r="F57" s="57"/>
      <c r="G57" s="9" t="str">
        <f>IF(D57="","",IF(D57="No",0,0.4+IF(E57="Si",0.3,0)+IF(F57="Actualizado",0.3,IF(F57="Desactualizado",0.15,0))))</f>
        <v/>
      </c>
      <c r="H57" s="10" t="s">
        <v>5</v>
      </c>
      <c r="I57" s="11" t="s">
        <v>6</v>
      </c>
      <c r="J57" s="17"/>
      <c r="K57" s="59">
        <f t="shared" si="1"/>
        <v>1</v>
      </c>
      <c r="L57" s="22" t="str">
        <f t="shared" si="2"/>
        <v/>
      </c>
      <c r="O57" s="22"/>
      <c r="P57" s="22"/>
      <c r="Q57" s="22"/>
    </row>
    <row r="58" spans="1:21" ht="40" customHeight="1" x14ac:dyDescent="0.35">
      <c r="A58" s="16"/>
      <c r="B58" s="7">
        <v>42</v>
      </c>
      <c r="C58" s="8" t="s">
        <v>110</v>
      </c>
      <c r="D58" s="55"/>
      <c r="E58" s="56"/>
      <c r="F58" s="57"/>
      <c r="G58" s="9" t="str">
        <f t="shared" ref="G58:G71" si="5">IF(D58="","",IF(D58="No",0,0.4+IF(E58="Si",0.3,0)+IF(F58="Actualizado",0.3,IF(F58="Desactualizado",0.15,0))))</f>
        <v/>
      </c>
      <c r="H58" s="10" t="s">
        <v>5</v>
      </c>
      <c r="I58" s="11" t="s">
        <v>6</v>
      </c>
      <c r="J58" s="17"/>
      <c r="K58" s="59">
        <f t="shared" si="1"/>
        <v>1</v>
      </c>
      <c r="L58" s="22" t="str">
        <f t="shared" si="2"/>
        <v/>
      </c>
      <c r="O58" s="22"/>
      <c r="P58" s="22"/>
      <c r="Q58" s="22"/>
    </row>
    <row r="59" spans="1:21" ht="40" customHeight="1" x14ac:dyDescent="0.35">
      <c r="A59" s="16"/>
      <c r="B59" s="7">
        <v>43</v>
      </c>
      <c r="C59" s="8" t="s">
        <v>111</v>
      </c>
      <c r="D59" s="55"/>
      <c r="E59" s="56"/>
      <c r="F59" s="57"/>
      <c r="G59" s="9" t="str">
        <f t="shared" si="5"/>
        <v/>
      </c>
      <c r="H59" s="10" t="s">
        <v>5</v>
      </c>
      <c r="I59" s="11" t="s">
        <v>6</v>
      </c>
      <c r="J59" s="17"/>
      <c r="K59" s="59">
        <f t="shared" si="1"/>
        <v>1</v>
      </c>
      <c r="L59" s="22" t="str">
        <f t="shared" si="2"/>
        <v/>
      </c>
      <c r="O59" s="22"/>
      <c r="P59" s="22"/>
      <c r="Q59" s="22"/>
    </row>
    <row r="60" spans="1:21" s="22" customFormat="1" ht="40" customHeight="1" x14ac:dyDescent="0.35">
      <c r="A60" s="16"/>
      <c r="B60" s="7">
        <v>44</v>
      </c>
      <c r="C60" s="8" t="s">
        <v>112</v>
      </c>
      <c r="D60" s="55"/>
      <c r="E60" s="56"/>
      <c r="F60" s="57"/>
      <c r="G60" s="9" t="str">
        <f t="shared" si="5"/>
        <v/>
      </c>
      <c r="H60" s="10" t="s">
        <v>5</v>
      </c>
      <c r="I60" s="11" t="s">
        <v>6</v>
      </c>
      <c r="J60" s="17"/>
      <c r="K60" s="59">
        <f t="shared" si="1"/>
        <v>1</v>
      </c>
      <c r="L60" s="22" t="str">
        <f t="shared" si="2"/>
        <v/>
      </c>
    </row>
    <row r="61" spans="1:21" s="22" customFormat="1" ht="40" customHeight="1" x14ac:dyDescent="0.35">
      <c r="A61" s="16"/>
      <c r="B61" s="7">
        <v>45</v>
      </c>
      <c r="C61" s="8" t="s">
        <v>113</v>
      </c>
      <c r="D61" s="55"/>
      <c r="E61" s="56"/>
      <c r="F61" s="57"/>
      <c r="G61" s="9" t="str">
        <f t="shared" si="5"/>
        <v/>
      </c>
      <c r="H61" s="10" t="s">
        <v>5</v>
      </c>
      <c r="I61" s="11" t="s">
        <v>6</v>
      </c>
      <c r="J61" s="17"/>
      <c r="K61" s="59">
        <f t="shared" si="1"/>
        <v>1</v>
      </c>
      <c r="L61" s="22" t="str">
        <f t="shared" si="2"/>
        <v/>
      </c>
    </row>
    <row r="62" spans="1:21" s="22" customFormat="1" ht="40" customHeight="1" x14ac:dyDescent="0.35">
      <c r="A62" s="16"/>
      <c r="B62" s="7">
        <v>46</v>
      </c>
      <c r="C62" s="8" t="s">
        <v>114</v>
      </c>
      <c r="D62" s="55"/>
      <c r="E62" s="56"/>
      <c r="F62" s="57"/>
      <c r="G62" s="9" t="str">
        <f t="shared" si="5"/>
        <v/>
      </c>
      <c r="H62" s="10" t="s">
        <v>5</v>
      </c>
      <c r="I62" s="11" t="s">
        <v>6</v>
      </c>
      <c r="J62" s="17"/>
      <c r="K62" s="59">
        <f t="shared" si="1"/>
        <v>1</v>
      </c>
      <c r="L62" s="22" t="str">
        <f t="shared" si="2"/>
        <v/>
      </c>
    </row>
    <row r="63" spans="1:21" s="22" customFormat="1" ht="40" customHeight="1" x14ac:dyDescent="0.35">
      <c r="A63" s="16"/>
      <c r="B63" s="7">
        <v>47</v>
      </c>
      <c r="C63" s="8" t="s">
        <v>115</v>
      </c>
      <c r="D63" s="55"/>
      <c r="E63" s="56"/>
      <c r="F63" s="57"/>
      <c r="G63" s="9" t="str">
        <f t="shared" si="5"/>
        <v/>
      </c>
      <c r="H63" s="10" t="s">
        <v>5</v>
      </c>
      <c r="I63" s="11" t="s">
        <v>6</v>
      </c>
      <c r="J63" s="17"/>
      <c r="K63" s="59">
        <f t="shared" si="1"/>
        <v>1</v>
      </c>
      <c r="L63" s="22" t="str">
        <f t="shared" si="2"/>
        <v/>
      </c>
    </row>
    <row r="64" spans="1:21" ht="40" customHeight="1" x14ac:dyDescent="0.35">
      <c r="A64" s="16"/>
      <c r="B64" s="7">
        <v>48</v>
      </c>
      <c r="C64" s="8" t="s">
        <v>116</v>
      </c>
      <c r="D64" s="55"/>
      <c r="E64" s="56"/>
      <c r="F64" s="57"/>
      <c r="G64" s="9" t="str">
        <f t="shared" si="5"/>
        <v/>
      </c>
      <c r="H64" s="10" t="s">
        <v>5</v>
      </c>
      <c r="I64" s="11" t="s">
        <v>6</v>
      </c>
      <c r="J64" s="17"/>
      <c r="K64" s="59">
        <f t="shared" si="1"/>
        <v>1</v>
      </c>
      <c r="L64" s="22" t="str">
        <f t="shared" si="2"/>
        <v/>
      </c>
      <c r="O64" s="22"/>
      <c r="P64" s="22"/>
      <c r="Q64" s="22"/>
    </row>
    <row r="65" spans="1:19" s="22" customFormat="1" ht="40" customHeight="1" x14ac:dyDescent="0.35">
      <c r="A65" s="16"/>
      <c r="B65" s="7">
        <v>49</v>
      </c>
      <c r="C65" s="8" t="s">
        <v>117</v>
      </c>
      <c r="D65" s="55"/>
      <c r="E65" s="56"/>
      <c r="F65" s="57"/>
      <c r="G65" s="9" t="str">
        <f t="shared" si="5"/>
        <v/>
      </c>
      <c r="H65" s="10" t="s">
        <v>5</v>
      </c>
      <c r="I65" s="11" t="s">
        <v>6</v>
      </c>
      <c r="J65" s="17"/>
      <c r="K65" s="59">
        <f t="shared" si="1"/>
        <v>1</v>
      </c>
      <c r="L65" s="22" t="str">
        <f t="shared" si="2"/>
        <v/>
      </c>
      <c r="R65"/>
    </row>
    <row r="66" spans="1:19" s="22" customFormat="1" ht="40" customHeight="1" x14ac:dyDescent="0.35">
      <c r="A66" s="16"/>
      <c r="B66" s="7">
        <v>50</v>
      </c>
      <c r="C66" s="8" t="s">
        <v>118</v>
      </c>
      <c r="D66" s="55"/>
      <c r="E66" s="56"/>
      <c r="F66" s="57"/>
      <c r="G66" s="9" t="str">
        <f t="shared" si="5"/>
        <v/>
      </c>
      <c r="H66" s="10" t="s">
        <v>5</v>
      </c>
      <c r="I66" s="11" t="s">
        <v>6</v>
      </c>
      <c r="J66" s="17"/>
      <c r="K66" s="59">
        <f t="shared" si="1"/>
        <v>1</v>
      </c>
      <c r="L66" s="22" t="str">
        <f t="shared" si="2"/>
        <v/>
      </c>
      <c r="R66"/>
    </row>
    <row r="67" spans="1:19" s="22" customFormat="1" ht="40" customHeight="1" x14ac:dyDescent="0.35">
      <c r="A67" s="16"/>
      <c r="B67" s="7">
        <v>51</v>
      </c>
      <c r="C67" s="8" t="s">
        <v>119</v>
      </c>
      <c r="D67" s="55"/>
      <c r="E67" s="56"/>
      <c r="F67" s="57"/>
      <c r="G67" s="9" t="str">
        <f t="shared" si="5"/>
        <v/>
      </c>
      <c r="H67" s="10" t="s">
        <v>5</v>
      </c>
      <c r="I67" s="11" t="s">
        <v>6</v>
      </c>
      <c r="J67" s="17"/>
      <c r="K67" s="59">
        <f t="shared" si="1"/>
        <v>1</v>
      </c>
      <c r="L67" s="22" t="str">
        <f t="shared" si="2"/>
        <v/>
      </c>
      <c r="R67"/>
    </row>
    <row r="68" spans="1:19" s="22" customFormat="1" ht="40" customHeight="1" x14ac:dyDescent="0.35">
      <c r="A68" s="16"/>
      <c r="B68" s="7">
        <v>52</v>
      </c>
      <c r="C68" s="8" t="s">
        <v>120</v>
      </c>
      <c r="D68" s="55"/>
      <c r="E68" s="56"/>
      <c r="F68" s="57"/>
      <c r="G68" s="9" t="str">
        <f t="shared" si="5"/>
        <v/>
      </c>
      <c r="H68" s="10" t="s">
        <v>5</v>
      </c>
      <c r="I68" s="11" t="s">
        <v>6</v>
      </c>
      <c r="J68" s="17"/>
      <c r="K68" s="59">
        <f t="shared" si="1"/>
        <v>1</v>
      </c>
      <c r="L68" s="22" t="str">
        <f t="shared" si="2"/>
        <v/>
      </c>
      <c r="R68"/>
    </row>
    <row r="69" spans="1:19" s="22" customFormat="1" ht="40" customHeight="1" x14ac:dyDescent="0.35">
      <c r="A69" s="16"/>
      <c r="B69" s="7">
        <v>53</v>
      </c>
      <c r="C69" s="8" t="s">
        <v>121</v>
      </c>
      <c r="D69" s="55"/>
      <c r="E69" s="56"/>
      <c r="F69" s="57"/>
      <c r="G69" s="9" t="str">
        <f t="shared" si="5"/>
        <v/>
      </c>
      <c r="H69" s="10" t="s">
        <v>5</v>
      </c>
      <c r="I69" s="11" t="s">
        <v>6</v>
      </c>
      <c r="J69" s="17"/>
      <c r="K69" s="59">
        <f t="shared" si="1"/>
        <v>1</v>
      </c>
      <c r="L69" s="22" t="str">
        <f t="shared" si="2"/>
        <v/>
      </c>
      <c r="R69"/>
    </row>
    <row r="70" spans="1:19" s="22" customFormat="1" ht="40" customHeight="1" x14ac:dyDescent="0.35">
      <c r="A70" s="16"/>
      <c r="B70" s="7">
        <v>54</v>
      </c>
      <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   <c r="I70" s="11" t="s">
        <v>6</v>
      </c>
      <c r="J70" s="17"/>
      <c r="K70" s="59">
        <f t="shared" si="1"/>
        <v>1</v>
      </c>
      <c r="L70" s="22" t="str">
        <f t="shared" si="2"/>
        <v/>
      </c>
      <c r="R70"/>
    </row>
    <row r="71" spans="1:19" s="22" customFormat="1" ht="40" customHeight="1" x14ac:dyDescent="0.35">
      <c r="A71" s="16"/>
      <c r="B71" s="7">
        <v>55</v>
      </c>
      <c r="C71" s="8" t="s">
        <v>123</v>
      </c>
      <c r="D71" s="55"/>
      <c r="E71" s="56"/>
      <c r="F71" s="57"/>
      <c r="G71" s="9" t="str">
        <f t="shared" si="5"/>
        <v/>
      </c>
      <c r="H71" s="10" t="s">
        <v>5</v>
      </c>
      <c r="I71" s="11" t="s">
        <v>6</v>
      </c>
      <c r="J71" s="17"/>
      <c r="K71" s="59">
        <f t="shared" si="1"/>
        <v>1</v>
      </c>
      <c r="L71" s="22" t="str">
        <f t="shared" si="2"/>
        <v/>
      </c>
      <c r="R71"/>
    </row>
    <row r="72" spans="1:19" x14ac:dyDescent="0.35">
      <c r="A72" s="16"/>
      <c r="B72" s="12"/>
      <c r="C72" s="12"/>
      <c r="D72" s="12"/>
      <c r="E72" s="12"/>
      <c r="F72" s="12"/>
      <c r="G72" s="12"/>
      <c r="H72" s="12"/>
      <c r="I72" s="12"/>
      <c r="J72" s="17"/>
      <c r="K72" s="59">
        <f t="shared" si="1"/>
        <v>0</v>
      </c>
      <c r="L72" s="22" t="str">
        <f t="shared" si="2"/>
        <v/>
      </c>
    </row>
    <row r="73" spans="1:19" ht="15" customHeight="1" x14ac:dyDescent="0.35">
      <c r="A73" s="16"/>
      <c r="B73" s="68" t="s">
        <v>139</v>
      </c>
      <c r="C73" s="68"/>
      <c r="D73" s="68"/>
      <c r="E73" s="68"/>
      <c r="F73" s="68"/>
      <c r="G73" s="68"/>
      <c r="H73" s="68"/>
      <c r="I73" s="68"/>
      <c r="J73" s="17"/>
      <c r="K73" s="59">
        <f t="shared" ref="K73:K103" si="6">IF(H73="Detalle:",1,0)</f>
        <v>0</v>
      </c>
      <c r="L73" s="22" t="str">
        <f t="shared" ref="L73:L103" si="7">IF(E73="","",IF(AND(E73="No",F73&lt;&gt;"Inexistente"),1,0))</f>
        <v/>
      </c>
      <c r="O73" s="22"/>
    </row>
    <row r="74" spans="1:19" ht="29" x14ac:dyDescent="0.35">
      <c r="A74" s="16"/>
      <c r="B74" s="6" t="s">
        <v>0</v>
      </c>
      <c r="C74" s="6" t="s">
        <v>24</v>
      </c>
      <c r="D74" s="6" t="s">
        <v>1</v>
      </c>
      <c r="E74" s="6" t="s">
        <v>2</v>
      </c>
      <c r="F74" s="6" t="s">
        <v>3</v>
      </c>
      <c r="G74" s="6" t="s">
        <v>4</v>
      </c>
      <c r="H74" s="73" t="s">
        <v>11</v>
      </c>
      <c r="I74" s="73"/>
      <c r="J74" s="17"/>
      <c r="K74" s="59">
        <f t="shared" si="6"/>
        <v>0</v>
      </c>
      <c r="L74" s="22">
        <f t="shared" si="7"/>
        <v>0</v>
      </c>
      <c r="O74" s="22"/>
      <c r="P74" s="22"/>
      <c r="Q74" s="22"/>
    </row>
    <row r="75" spans="1:19" ht="40" customHeight="1" x14ac:dyDescent="0.35">
      <c r="A75" s="16"/>
      <c r="B75" s="7">
        <v>56</v>
      </c>
      <c r="C75" s="8" t="s">
        <v>124</v>
      </c>
      <c r="D75" s="55"/>
      <c r="E75" s="56"/>
      <c r="F75" s="57"/>
      <c r="G75" s="9" t="str">
        <f>IF(D75="","",IF(D75="No",0,0.4+IF(E75="Si",0.3,0)+IF(F75="Actualizado",0.3,IF(F75="Desactualizado",0.15,0))))</f>
        <v/>
      </c>
      <c r="H75" s="10" t="s">
        <v>5</v>
      </c>
      <c r="I75" s="11" t="s">
        <v>6</v>
      </c>
      <c r="J75" s="17"/>
      <c r="K75" s="59">
        <f t="shared" si="6"/>
        <v>1</v>
      </c>
      <c r="L75" s="22" t="str">
        <f t="shared" si="7"/>
        <v/>
      </c>
      <c r="O75" s="22"/>
      <c r="P75" s="22"/>
      <c r="Q75" s="22"/>
    </row>
    <row r="76" spans="1:19" ht="40" customHeight="1" x14ac:dyDescent="0.35">
      <c r="A76" s="16"/>
      <c r="B76" s="7">
        <v>57</v>
      </c>
      <c r="C76" s="8" t="s">
        <v>125</v>
      </c>
      <c r="D76" s="55"/>
      <c r="E76" s="56"/>
      <c r="F76" s="57"/>
      <c r="G76" s="9" t="str">
        <f t="shared" ref="G76:G85" si="8">IF(D76="","",IF(D76="No",0,0.4+IF(E76="Si",0.3,0)+IF(F76="Actualizado",0.3,IF(F76="Desactualizado",0.15,0))))</f>
        <v/>
      </c>
      <c r="H76" s="10" t="s">
        <v>5</v>
      </c>
      <c r="I76" s="11" t="s">
        <v>6</v>
      </c>
      <c r="J76" s="17"/>
      <c r="K76" s="59">
        <f t="shared" si="6"/>
        <v>1</v>
      </c>
      <c r="L76" s="22" t="str">
        <f t="shared" si="7"/>
        <v/>
      </c>
      <c r="O76" s="22"/>
      <c r="P76" s="22"/>
      <c r="Q76" s="22"/>
    </row>
    <row r="77" spans="1:19" ht="40" customHeight="1" x14ac:dyDescent="0.35">
      <c r="A77" s="16"/>
      <c r="B77" s="7">
        <v>58</v>
      </c>
      <c r="C77" s="8" t="s">
        <v>126</v>
      </c>
      <c r="D77" s="55"/>
      <c r="E77" s="56"/>
      <c r="F77" s="57"/>
      <c r="G77" s="9" t="str">
        <f t="shared" si="8"/>
        <v/>
      </c>
      <c r="H77" s="10" t="s">
        <v>5</v>
      </c>
      <c r="I77" s="11" t="s">
        <v>6</v>
      </c>
      <c r="J77" s="17"/>
      <c r="K77" s="59">
        <f t="shared" si="6"/>
        <v>1</v>
      </c>
      <c r="L77" s="22" t="str">
        <f t="shared" si="7"/>
        <v/>
      </c>
      <c r="O77" s="22"/>
      <c r="P77" s="22"/>
      <c r="Q77" s="22"/>
    </row>
    <row r="78" spans="1:19" ht="40" customHeight="1" x14ac:dyDescent="0.35">
      <c r="A78" s="16"/>
      <c r="B78" s="7">
        <v>59</v>
      </c>
      <c r="C78" s="8" t="s">
        <v>127</v>
      </c>
      <c r="D78" s="55"/>
      <c r="E78" s="56"/>
      <c r="F78" s="57"/>
      <c r="G78" s="9" t="str">
        <f t="shared" si="8"/>
        <v/>
      </c>
      <c r="H78" s="10" t="s">
        <v>5</v>
      </c>
      <c r="I78" s="11" t="s">
        <v>6</v>
      </c>
      <c r="J78" s="17"/>
      <c r="K78" s="59">
        <f t="shared" si="6"/>
        <v>1</v>
      </c>
      <c r="L78" s="22" t="str">
        <f t="shared" si="7"/>
        <v/>
      </c>
      <c r="O78" s="22"/>
      <c r="P78" s="22"/>
      <c r="Q78" s="22"/>
      <c r="R78" s="22"/>
      <c r="S78" s="22"/>
    </row>
    <row r="79" spans="1:19" ht="40" customHeight="1" x14ac:dyDescent="0.35">
      <c r="A79" s="16"/>
      <c r="B79" s="7">
        <v>60</v>
      </c>
      <c r="C79" s="8" t="s">
        <v>128</v>
      </c>
      <c r="D79" s="55"/>
      <c r="E79" s="56"/>
      <c r="F79" s="57"/>
      <c r="G79" s="9" t="str">
        <f t="shared" si="8"/>
        <v/>
      </c>
      <c r="H79" s="10" t="s">
        <v>5</v>
      </c>
      <c r="I79" s="11" t="s">
        <v>6</v>
      </c>
      <c r="J79" s="17"/>
      <c r="K79" s="59">
        <f t="shared" si="6"/>
        <v>1</v>
      </c>
      <c r="L79" s="22" t="str">
        <f t="shared" si="7"/>
        <v/>
      </c>
      <c r="O79" s="22"/>
      <c r="P79" s="22"/>
      <c r="Q79" s="22"/>
      <c r="R79" s="22"/>
      <c r="S79" s="22"/>
    </row>
    <row r="80" spans="1:19" ht="40" customHeight="1" x14ac:dyDescent="0.35">
      <c r="A80" s="16"/>
      <c r="B80" s="7">
        <v>61</v>
      </c>
      <c r="C80" s="8" t="s">
        <v>129</v>
      </c>
      <c r="D80" s="55"/>
      <c r="E80" s="56"/>
      <c r="F80" s="57"/>
      <c r="G80" s="9" t="str">
        <f t="shared" si="8"/>
        <v/>
      </c>
      <c r="H80" s="10" t="s">
        <v>5</v>
      </c>
      <c r="I80" s="11" t="s">
        <v>6</v>
      </c>
      <c r="J80" s="17"/>
      <c r="K80" s="59">
        <f t="shared" si="6"/>
        <v>1</v>
      </c>
      <c r="L80" s="22" t="str">
        <f t="shared" si="7"/>
        <v/>
      </c>
      <c r="O80" s="22"/>
      <c r="P80" s="22"/>
      <c r="Q80" s="22"/>
      <c r="R80" s="22"/>
      <c r="S80" s="22"/>
    </row>
    <row r="81" spans="1:19" ht="40" customHeight="1" x14ac:dyDescent="0.35">
      <c r="A81" s="16"/>
      <c r="B81" s="7">
        <v>62</v>
      </c>
      <c r="C81" s="8" t="s">
        <v>130</v>
      </c>
      <c r="D81" s="55"/>
      <c r="E81" s="56"/>
      <c r="F81" s="57"/>
      <c r="G81" s="9" t="str">
        <f t="shared" si="8"/>
        <v/>
      </c>
      <c r="H81" s="10" t="s">
        <v>5</v>
      </c>
      <c r="I81" s="11" t="s">
        <v>6</v>
      </c>
      <c r="J81" s="17"/>
      <c r="K81" s="59">
        <f t="shared" si="6"/>
        <v>1</v>
      </c>
      <c r="L81" s="22" t="str">
        <f t="shared" si="7"/>
        <v/>
      </c>
      <c r="O81" s="22"/>
      <c r="P81" s="22"/>
      <c r="Q81" s="22"/>
      <c r="R81" s="22"/>
      <c r="S81" s="22"/>
    </row>
    <row r="82" spans="1:19" ht="40" customHeight="1" x14ac:dyDescent="0.35">
      <c r="A82" s="16"/>
      <c r="B82" s="7">
        <v>63</v>
      </c>
      <c r="C82" s="8" t="s">
        <v>131</v>
      </c>
      <c r="D82" s="55"/>
      <c r="E82" s="56"/>
      <c r="F82" s="57"/>
      <c r="G82" s="9" t="str">
        <f t="shared" si="8"/>
        <v/>
      </c>
      <c r="H82" s="10" t="s">
        <v>5</v>
      </c>
      <c r="I82" s="11" t="s">
        <v>6</v>
      </c>
      <c r="J82" s="17"/>
      <c r="K82" s="59">
        <f t="shared" si="6"/>
        <v>1</v>
      </c>
      <c r="L82" s="22" t="str">
        <f t="shared" si="7"/>
        <v/>
      </c>
      <c r="O82" s="22"/>
      <c r="P82" s="22"/>
      <c r="Q82" s="22"/>
      <c r="R82" s="22"/>
      <c r="S82" s="22"/>
    </row>
    <row r="83" spans="1:19" s="22" customFormat="1" ht="40" customHeight="1" x14ac:dyDescent="0.35">
      <c r="A83" s="16"/>
      <c r="B83" s="7">
        <v>64</v>
      </c>
      <c r="C83" s="8" t="s">
        <v>132</v>
      </c>
      <c r="D83" s="55"/>
      <c r="E83" s="56"/>
      <c r="F83" s="57"/>
      <c r="G83" s="9" t="str">
        <f t="shared" si="8"/>
        <v/>
      </c>
      <c r="H83" s="10" t="s">
        <v>5</v>
      </c>
      <c r="I83" s="11" t="s">
        <v>6</v>
      </c>
      <c r="J83" s="17"/>
      <c r="K83" s="59">
        <f t="shared" si="6"/>
        <v>1</v>
      </c>
      <c r="L83" s="22" t="str">
        <f t="shared" si="7"/>
        <v/>
      </c>
    </row>
    <row r="84" spans="1:19" s="22" customFormat="1" ht="40" customHeight="1" x14ac:dyDescent="0.35">
      <c r="A84" s="16"/>
      <c r="B84" s="7">
        <v>65</v>
      </c>
      <c r="C84" s="8" t="s">
        <v>133</v>
      </c>
      <c r="D84" s="55"/>
      <c r="E84" s="56"/>
      <c r="F84" s="57"/>
      <c r="G84" s="9" t="str">
        <f t="shared" si="8"/>
        <v/>
      </c>
      <c r="H84" s="10" t="s">
        <v>5</v>
      </c>
      <c r="I84" s="11" t="s">
        <v>6</v>
      </c>
      <c r="J84" s="17"/>
      <c r="K84" s="59">
        <f t="shared" si="6"/>
        <v>1</v>
      </c>
      <c r="L84" s="22" t="str">
        <f t="shared" si="7"/>
        <v/>
      </c>
    </row>
    <row r="85" spans="1:19" s="22" customFormat="1" ht="40" customHeight="1" x14ac:dyDescent="0.35">
      <c r="A85" s="16"/>
      <c r="B85" s="7">
        <v>66</v>
      </c>
      <c r="C85" s="8" t="s">
        <v>134</v>
      </c>
      <c r="D85" s="55"/>
      <c r="E85" s="56"/>
      <c r="F85" s="57"/>
      <c r="G85" s="9" t="str">
        <f t="shared" si="8"/>
        <v/>
      </c>
      <c r="H85" s="10" t="s">
        <v>5</v>
      </c>
      <c r="I85" s="11" t="s">
        <v>6</v>
      </c>
      <c r="J85" s="17"/>
      <c r="K85" s="59">
        <f t="shared" si="6"/>
        <v>1</v>
      </c>
      <c r="L85" s="22" t="str">
        <f t="shared" si="7"/>
        <v/>
      </c>
    </row>
    <row r="86" spans="1:19" x14ac:dyDescent="0.35">
      <c r="A86" s="16"/>
      <c r="B86" s="12"/>
      <c r="C86" s="12"/>
      <c r="D86" s="12"/>
      <c r="E86" s="12"/>
      <c r="F86" s="12"/>
      <c r="G86" s="12"/>
      <c r="H86" s="12"/>
      <c r="I86" s="12"/>
      <c r="J86" s="17"/>
      <c r="K86" s="59">
        <f t="shared" si="6"/>
        <v>0</v>
      </c>
      <c r="L86" s="22" t="str">
        <f t="shared" si="7"/>
        <v/>
      </c>
      <c r="S86" s="22"/>
    </row>
    <row r="87" spans="1:19" ht="15" customHeight="1" x14ac:dyDescent="0.35">
      <c r="A87" s="16"/>
      <c r="B87" s="68" t="s">
        <v>140</v>
      </c>
      <c r="C87" s="68"/>
      <c r="D87" s="68"/>
      <c r="E87" s="68"/>
      <c r="F87" s="68"/>
      <c r="G87" s="68"/>
      <c r="H87" s="68"/>
      <c r="I87" s="68"/>
      <c r="J87" s="17"/>
      <c r="K87" s="59">
        <f t="shared" si="6"/>
        <v>0</v>
      </c>
      <c r="L87" s="22" t="str">
        <f t="shared" si="7"/>
        <v/>
      </c>
      <c r="O87" s="22"/>
      <c r="R87" s="22"/>
      <c r="S87" s="22"/>
    </row>
    <row r="88" spans="1:19" ht="29" x14ac:dyDescent="0.35">
      <c r="A88" s="16"/>
      <c r="B88" s="6" t="s">
        <v>0</v>
      </c>
      <c r="C88" s="6" t="s">
        <v>24</v>
      </c>
      <c r="D88" s="6" t="s">
        <v>1</v>
      </c>
      <c r="E88" s="6" t="s">
        <v>2</v>
      </c>
      <c r="F88" s="6" t="s">
        <v>3</v>
      </c>
      <c r="G88" s="6" t="s">
        <v>4</v>
      </c>
      <c r="H88" s="73" t="s">
        <v>11</v>
      </c>
      <c r="I88" s="73"/>
      <c r="J88" s="17"/>
      <c r="K88" s="59">
        <f t="shared" si="6"/>
        <v>0</v>
      </c>
      <c r="L88" s="22">
        <f t="shared" si="7"/>
        <v>0</v>
      </c>
      <c r="O88" s="22"/>
      <c r="P88" s="22"/>
      <c r="Q88" s="22"/>
      <c r="R88" s="22"/>
      <c r="S88" s="22"/>
    </row>
    <row r="89" spans="1:19" ht="40" customHeight="1" x14ac:dyDescent="0.35">
      <c r="A89" s="16"/>
      <c r="B89" s="7">
        <v>67</v>
      </c>
      <c r="C89" s="8" t="s">
        <v>54</v>
      </c>
      <c r="D89" s="55"/>
      <c r="E89" s="56"/>
      <c r="F89" s="57"/>
      <c r="G89" s="9" t="str">
        <f>IF(D89="","",IF(D89="No",0,0.4+IF(E89="Si",0.3,0)+IF(F89="Actualizado",0.3,IF(F89="Desactualizado",0.15,0))))</f>
        <v/>
      </c>
      <c r="H89" s="10" t="s">
        <v>5</v>
      </c>
      <c r="I89" s="11" t="s">
        <v>6</v>
      </c>
      <c r="J89" s="17"/>
      <c r="K89" s="59">
        <f t="shared" si="6"/>
        <v>1</v>
      </c>
      <c r="L89" s="22" t="str">
        <f t="shared" si="7"/>
        <v/>
      </c>
      <c r="O89" s="22"/>
      <c r="P89" s="22"/>
      <c r="Q89" s="22"/>
      <c r="R89" s="22"/>
      <c r="S89" s="22"/>
    </row>
    <row r="90" spans="1:19" ht="40" customHeight="1" x14ac:dyDescent="0.35">
      <c r="A90" s="16"/>
      <c r="B90" s="7">
        <v>68</v>
      </c>
      <c r="C90" s="8" t="s">
        <v>55</v>
      </c>
      <c r="D90" s="55"/>
      <c r="E90" s="56"/>
      <c r="F90" s="57"/>
      <c r="G90" s="9" t="str">
        <f t="shared" ref="G90:G103" si="9">IF(D90="","",IF(D90="No",0,0.4+IF(E90="Si",0.3,0)+IF(F90="Actualizado",0.3,IF(F90="Desactualizado",0.15,0))))</f>
        <v/>
      </c>
      <c r="H90" s="10" t="s">
        <v>5</v>
      </c>
      <c r="I90" s="11" t="s">
        <v>6</v>
      </c>
      <c r="J90" s="17"/>
      <c r="K90" s="59">
        <f t="shared" si="6"/>
        <v>1</v>
      </c>
      <c r="L90" s="22" t="str">
        <f t="shared" si="7"/>
        <v/>
      </c>
      <c r="O90" s="22"/>
      <c r="P90" s="22"/>
      <c r="Q90" s="22"/>
      <c r="R90" s="22"/>
      <c r="S90" s="22"/>
    </row>
    <row r="91" spans="1:19" ht="40" customHeight="1" x14ac:dyDescent="0.35">
      <c r="A91" s="16"/>
      <c r="B91" s="7">
        <v>69</v>
      </c>
      <c r="C91" s="8" t="s">
        <v>56</v>
      </c>
      <c r="D91" s="55"/>
      <c r="E91" s="56"/>
      <c r="F91" s="57"/>
      <c r="G91" s="9" t="str">
        <f t="shared" si="9"/>
        <v/>
      </c>
      <c r="H91" s="10" t="s">
        <v>5</v>
      </c>
      <c r="I91" s="11" t="s">
        <v>6</v>
      </c>
      <c r="J91" s="17"/>
      <c r="K91" s="59">
        <f t="shared" si="6"/>
        <v>1</v>
      </c>
      <c r="L91" s="22" t="str">
        <f t="shared" si="7"/>
        <v/>
      </c>
      <c r="O91" s="22"/>
      <c r="P91" s="22"/>
      <c r="Q91" s="22"/>
      <c r="R91" s="22"/>
      <c r="S91" s="22"/>
    </row>
    <row r="92" spans="1:19" ht="40" customHeight="1" x14ac:dyDescent="0.35">
      <c r="A92" s="16"/>
      <c r="B92" s="7">
        <v>70</v>
      </c>
      <c r="C92" s="8" t="s">
        <v>57</v>
      </c>
      <c r="D92" s="55"/>
      <c r="E92" s="56"/>
      <c r="F92" s="57"/>
      <c r="G92" s="9" t="str">
        <f t="shared" si="9"/>
        <v/>
      </c>
      <c r="H92" s="10" t="s">
        <v>5</v>
      </c>
      <c r="I92" s="11" t="s">
        <v>6</v>
      </c>
      <c r="J92" s="17"/>
      <c r="K92" s="59">
        <f t="shared" si="6"/>
        <v>1</v>
      </c>
      <c r="L92" s="22" t="str">
        <f t="shared" si="7"/>
        <v/>
      </c>
      <c r="O92" s="22"/>
      <c r="P92" s="22"/>
      <c r="Q92" s="22"/>
      <c r="R92" s="22"/>
      <c r="S92" s="22"/>
    </row>
    <row r="93" spans="1:19" ht="40" customHeight="1" x14ac:dyDescent="0.35">
      <c r="A93" s="16"/>
      <c r="B93" s="7">
        <v>71</v>
      </c>
      <c r="C93" s="8" t="s">
        <v>58</v>
      </c>
      <c r="D93" s="55"/>
      <c r="E93" s="56"/>
      <c r="F93" s="57"/>
      <c r="G93" s="9" t="str">
        <f t="shared" si="9"/>
        <v/>
      </c>
      <c r="H93" s="10" t="s">
        <v>5</v>
      </c>
      <c r="I93" s="11" t="s">
        <v>6</v>
      </c>
      <c r="J93" s="17"/>
      <c r="K93" s="59">
        <f t="shared" si="6"/>
        <v>1</v>
      </c>
      <c r="L93" s="22" t="str">
        <f t="shared" si="7"/>
        <v/>
      </c>
      <c r="O93" s="22"/>
      <c r="P93" s="22"/>
      <c r="Q93" s="22"/>
      <c r="R93" s="22"/>
      <c r="S93" s="22"/>
    </row>
    <row r="94" spans="1:19" s="22" customFormat="1" ht="40" customHeight="1" x14ac:dyDescent="0.35">
      <c r="A94" s="16"/>
      <c r="B94" s="7">
        <v>72</v>
      </c>
      <c r="C94" s="8" t="s">
        <v>59</v>
      </c>
      <c r="D94" s="55"/>
      <c r="E94" s="56"/>
      <c r="F94" s="57"/>
      <c r="G94" s="9" t="str">
        <f t="shared" si="9"/>
        <v/>
      </c>
      <c r="H94" s="10" t="s">
        <v>5</v>
      </c>
      <c r="I94" s="11" t="s">
        <v>6</v>
      </c>
      <c r="J94" s="17"/>
      <c r="K94" s="59">
        <f t="shared" si="6"/>
        <v>1</v>
      </c>
      <c r="L94" s="22" t="str">
        <f t="shared" si="7"/>
        <v/>
      </c>
    </row>
    <row r="95" spans="1:19" s="22" customFormat="1" ht="40" customHeight="1" x14ac:dyDescent="0.35">
      <c r="A95" s="16"/>
      <c r="B95" s="7">
        <v>73</v>
      </c>
      <c r="C95" s="8" t="s">
        <v>60</v>
      </c>
      <c r="D95" s="55"/>
      <c r="E95" s="56"/>
      <c r="F95" s="57"/>
      <c r="G95" s="9" t="str">
        <f t="shared" si="9"/>
        <v/>
      </c>
      <c r="H95" s="10" t="s">
        <v>5</v>
      </c>
      <c r="I95" s="11" t="s">
        <v>6</v>
      </c>
      <c r="J95" s="17"/>
      <c r="K95" s="59">
        <f t="shared" si="6"/>
        <v>1</v>
      </c>
      <c r="L95" s="22" t="str">
        <f t="shared" si="7"/>
        <v/>
      </c>
    </row>
    <row r="96" spans="1:19" s="22" customFormat="1" ht="40" customHeight="1" x14ac:dyDescent="0.35">
      <c r="A96" s="16"/>
      <c r="B96" s="7">
        <v>74</v>
      </c>
      <c r="C96" s="8" t="s">
        <v>61</v>
      </c>
      <c r="D96" s="55"/>
      <c r="E96" s="56"/>
      <c r="F96" s="57"/>
      <c r="G96" s="9" t="str">
        <f t="shared" si="9"/>
        <v/>
      </c>
      <c r="H96" s="10" t="s">
        <v>5</v>
      </c>
      <c r="I96" s="11" t="s">
        <v>6</v>
      </c>
      <c r="J96" s="17"/>
      <c r="K96" s="59">
        <f t="shared" si="6"/>
        <v>1</v>
      </c>
      <c r="L96" s="22" t="str">
        <f t="shared" si="7"/>
        <v/>
      </c>
    </row>
    <row r="97" spans="1:19" s="22" customFormat="1" ht="40" customHeight="1" x14ac:dyDescent="0.35">
      <c r="A97" s="16"/>
      <c r="B97" s="7">
        <v>75</v>
      </c>
      <c r="C97" s="8" t="s">
        <v>62</v>
      </c>
      <c r="D97" s="55"/>
      <c r="E97" s="56"/>
      <c r="F97" s="57"/>
      <c r="G97" s="9" t="str">
        <f t="shared" si="9"/>
        <v/>
      </c>
      <c r="H97" s="10" t="s">
        <v>5</v>
      </c>
      <c r="I97" s="11" t="s">
        <v>6</v>
      </c>
      <c r="J97" s="17"/>
      <c r="K97" s="59">
        <f t="shared" si="6"/>
        <v>1</v>
      </c>
      <c r="L97" s="22" t="str">
        <f t="shared" si="7"/>
        <v/>
      </c>
    </row>
    <row r="98" spans="1:19" s="22" customFormat="1" ht="40" customHeight="1" x14ac:dyDescent="0.35">
      <c r="A98" s="16"/>
      <c r="B98" s="7">
        <v>76</v>
      </c>
      <c r="C98" s="8" t="s">
        <v>63</v>
      </c>
      <c r="D98" s="55"/>
      <c r="E98" s="56"/>
      <c r="F98" s="57"/>
      <c r="G98" s="9" t="str">
        <f t="shared" si="9"/>
        <v/>
      </c>
      <c r="H98" s="10" t="s">
        <v>5</v>
      </c>
      <c r="I98" s="11" t="s">
        <v>6</v>
      </c>
      <c r="J98" s="17"/>
      <c r="K98" s="59">
        <f t="shared" si="6"/>
        <v>1</v>
      </c>
      <c r="L98" s="22" t="str">
        <f t="shared" si="7"/>
        <v/>
      </c>
    </row>
    <row r="99" spans="1:19" s="22" customFormat="1" ht="40" customHeight="1" x14ac:dyDescent="0.35">
      <c r="A99" s="16"/>
      <c r="B99" s="7">
        <v>77</v>
      </c>
      <c r="C99" s="8" t="s">
        <v>64</v>
      </c>
      <c r="D99" s="55"/>
      <c r="E99" s="56"/>
      <c r="F99" s="57"/>
      <c r="G99" s="9" t="str">
        <f t="shared" si="9"/>
        <v/>
      </c>
      <c r="H99" s="10" t="s">
        <v>5</v>
      </c>
      <c r="I99" s="11" t="s">
        <v>6</v>
      </c>
      <c r="J99" s="17"/>
      <c r="K99" s="59">
        <f t="shared" si="6"/>
        <v>1</v>
      </c>
      <c r="L99" s="22" t="str">
        <f t="shared" si="7"/>
        <v/>
      </c>
    </row>
    <row r="100" spans="1:19" s="22" customFormat="1" ht="40" customHeight="1" x14ac:dyDescent="0.35">
      <c r="A100" s="16"/>
      <c r="B100" s="7">
        <v>78</v>
      </c>
      <c r="C100" s="8" t="s">
        <v>65</v>
      </c>
      <c r="D100" s="55"/>
      <c r="E100" s="56"/>
      <c r="F100" s="57"/>
      <c r="G100" s="9" t="str">
        <f t="shared" si="9"/>
        <v/>
      </c>
      <c r="H100" s="10" t="s">
        <v>5</v>
      </c>
      <c r="I100" s="11" t="s">
        <v>6</v>
      </c>
      <c r="J100" s="17"/>
      <c r="K100" s="59">
        <f t="shared" si="6"/>
        <v>1</v>
      </c>
      <c r="L100" s="22" t="str">
        <f t="shared" si="7"/>
        <v/>
      </c>
    </row>
    <row r="101" spans="1:19" s="22" customFormat="1" ht="40" customHeight="1" x14ac:dyDescent="0.35">
      <c r="A101" s="16"/>
      <c r="B101" s="7">
        <v>79</v>
      </c>
      <c r="C101" s="8" t="s">
        <v>66</v>
      </c>
      <c r="D101" s="55"/>
      <c r="E101" s="56"/>
      <c r="F101" s="57"/>
      <c r="G101" s="9" t="str">
        <f t="shared" si="9"/>
        <v/>
      </c>
      <c r="H101" s="10" t="s">
        <v>5</v>
      </c>
      <c r="I101" s="11" t="s">
        <v>6</v>
      </c>
      <c r="J101" s="17"/>
      <c r="K101" s="59">
        <f t="shared" si="6"/>
        <v>1</v>
      </c>
      <c r="L101" s="22" t="str">
        <f t="shared" si="7"/>
        <v/>
      </c>
      <c r="R101"/>
      <c r="S101"/>
    </row>
    <row r="102" spans="1:19" s="22" customFormat="1" ht="40" customHeight="1" x14ac:dyDescent="0.35">
      <c r="A102" s="16"/>
      <c r="B102" s="7">
        <v>80</v>
      </c>
      <c r="C102" s="8" t="s">
        <v>67</v>
      </c>
      <c r="D102" s="55"/>
      <c r="E102" s="56"/>
      <c r="F102" s="57"/>
      <c r="G102" s="9" t="str">
        <f t="shared" si="9"/>
        <v/>
      </c>
      <c r="H102" s="10" t="s">
        <v>5</v>
      </c>
      <c r="I102" s="11" t="s">
        <v>6</v>
      </c>
      <c r="J102" s="17"/>
      <c r="K102" s="59">
        <f t="shared" si="6"/>
        <v>1</v>
      </c>
      <c r="L102" s="22" t="str">
        <f t="shared" si="7"/>
        <v/>
      </c>
      <c r="R102"/>
      <c r="S102"/>
    </row>
    <row r="103" spans="1:19" s="22" customFormat="1" ht="40" customHeight="1" x14ac:dyDescent="0.35">
      <c r="A103" s="16"/>
      <c r="B103" s="7">
        <v>81</v>
      </c>
      <c r="C103" s="8" t="s">
        <v>68</v>
      </c>
      <c r="D103" s="55"/>
      <c r="E103" s="56"/>
      <c r="F103" s="57"/>
      <c r="G103" s="9" t="str">
        <f t="shared" si="9"/>
        <v/>
      </c>
      <c r="H103" s="10" t="s">
        <v>5</v>
      </c>
      <c r="I103" s="11" t="s">
        <v>6</v>
      </c>
      <c r="J103" s="17"/>
      <c r="K103" s="59">
        <f t="shared" si="6"/>
        <v>1</v>
      </c>
      <c r="L103" s="22" t="str">
        <f t="shared" si="7"/>
        <v/>
      </c>
      <c r="R103"/>
      <c r="S103"/>
    </row>
    <row r="104" spans="1:19" ht="15" thickBot="1" x14ac:dyDescent="0.4">
      <c r="A104" s="18"/>
      <c r="B104" s="20"/>
      <c r="C104" s="20"/>
      <c r="D104" s="20"/>
      <c r="E104" s="20"/>
      <c r="F104" s="20"/>
      <c r="G104" s="20"/>
      <c r="H104" s="20"/>
      <c r="I104" s="20"/>
      <c r="J104" s="19"/>
      <c r="L104" s="22" t="str">
        <f>IF(F104="","",IF(AND(E104="No",F104&lt;&gt;"Inexistente"),1,0))</f>
        <v/>
      </c>
    </row>
    <row r="105" spans="1:19" x14ac:dyDescent="0.35">
      <c r="A105" s="23"/>
      <c r="B105" s="24"/>
      <c r="C105" s="25"/>
      <c r="D105" s="24"/>
      <c r="E105" s="24"/>
      <c r="F105" s="24"/>
      <c r="G105" s="24"/>
      <c r="H105" s="24"/>
      <c r="I105" s="24"/>
      <c r="J105" s="26"/>
    </row>
    <row r="106" spans="1:19" x14ac:dyDescent="0.35">
      <c r="A106" s="27"/>
      <c r="B106" s="28"/>
      <c r="C106" s="29"/>
      <c r="D106" s="28"/>
      <c r="E106" s="28"/>
      <c r="F106" s="28"/>
      <c r="G106" s="28"/>
      <c r="H106" s="28"/>
      <c r="I106" s="28"/>
      <c r="J106" s="30"/>
    </row>
    <row r="107" spans="1:19" ht="19" thickBot="1" x14ac:dyDescent="0.4">
      <c r="A107" s="27"/>
      <c r="B107" s="77" t="s">
        <v>52</v>
      </c>
      <c r="C107" s="70"/>
      <c r="D107" s="70"/>
      <c r="E107" s="70"/>
      <c r="F107" s="70"/>
      <c r="G107" s="31" t="str">
        <f>IFERROR(AVERAGE(G8:G103),"")</f>
        <v/>
      </c>
      <c r="H107" s="28"/>
      <c r="I107" s="28"/>
      <c r="J107" s="30"/>
    </row>
    <row r="108" spans="1:19" ht="15" thickTop="1" x14ac:dyDescent="0.35">
      <c r="A108" s="27"/>
      <c r="B108" s="69" t="s">
        <v>53</v>
      </c>
      <c r="C108" s="70"/>
      <c r="D108" s="71" t="str">
        <f>COUNTIF(D8:D103,"si")&amp;"  Conformes / "&amp;COUNTIF(D8:D103,"no")&amp;"  No Conformes"</f>
        <v>0  Conformes / 0  No Conformes</v>
      </c>
      <c r="E108" s="72"/>
      <c r="F108" s="72"/>
      <c r="G108" s="28"/>
      <c r="H108" s="28"/>
      <c r="I108" s="28"/>
      <c r="J108" s="30"/>
    </row>
    <row r="109" spans="1:19" x14ac:dyDescent="0.35">
      <c r="A109" s="32"/>
      <c r="B109" s="69" t="s">
        <v>150</v>
      </c>
      <c r="C109" s="70"/>
      <c r="D109" s="71" t="str">
        <f>COUNTIF(E8:E103,"si")&amp;"  Elaborados / "&amp;COUNTIF(E8:E103,"no")&amp;"  No Elaborados"</f>
        <v>0  Elaborados / 0  No Elaborados</v>
      </c>
      <c r="E109" s="72"/>
      <c r="F109" s="72"/>
      <c r="G109" s="28"/>
      <c r="H109" s="28"/>
      <c r="I109" s="28"/>
      <c r="J109" s="30"/>
    </row>
    <row r="110" spans="1:19" ht="24.75" customHeight="1" x14ac:dyDescent="0.35">
      <c r="A110" s="33"/>
      <c r="B110" s="34"/>
      <c r="C110" s="35"/>
      <c r="D110" s="36"/>
      <c r="E110" s="36"/>
      <c r="F110" s="36"/>
      <c r="G110" s="36"/>
      <c r="H110" s="36"/>
      <c r="I110" s="36"/>
      <c r="J110" s="37"/>
    </row>
    <row r="111" spans="1:19" ht="33" customHeight="1" x14ac:dyDescent="0.35">
      <c r="A111" s="33"/>
      <c r="B111" s="34" t="b">
        <v>0</v>
      </c>
      <c r="C111" s="35"/>
      <c r="D111" s="38" t="s">
        <v>151</v>
      </c>
      <c r="E111" s="39" t="s">
        <v>43</v>
      </c>
      <c r="F111" s="38" t="s">
        <v>143</v>
      </c>
      <c r="G111" s="39"/>
      <c r="H111" s="40" t="s">
        <v>142</v>
      </c>
      <c r="I111" s="41" t="str">
        <f ca="1">IF(B111=FALSE,"",TODAY())</f>
        <v/>
      </c>
      <c r="J111" s="37"/>
    </row>
    <row r="112" spans="1:19" ht="33" customHeight="1" x14ac:dyDescent="0.35">
      <c r="A112" s="33"/>
      <c r="B112" s="34" t="b">
        <v>0</v>
      </c>
      <c r="C112" s="35"/>
      <c r="D112" s="38" t="s">
        <v>141</v>
      </c>
      <c r="E112" s="39" t="s">
        <v>39</v>
      </c>
      <c r="F112" s="38" t="s">
        <v>144</v>
      </c>
      <c r="G112" s="39"/>
      <c r="H112" s="40" t="s">
        <v>152</v>
      </c>
      <c r="I112" s="41" t="str">
        <f ca="1">IF(B112=FALSE,"",TODAY())</f>
        <v/>
      </c>
      <c r="J112" s="37"/>
    </row>
    <row r="113" spans="1:10" ht="33" customHeight="1" x14ac:dyDescent="0.35">
      <c r="A113" s="32"/>
      <c r="B113" s="42" t="b">
        <v>0</v>
      </c>
      <c r="C113" s="43"/>
      <c r="D113" s="38" t="s">
        <v>153</v>
      </c>
      <c r="E113" s="39" t="s">
        <v>146</v>
      </c>
      <c r="F113" s="38" t="s">
        <v>154</v>
      </c>
      <c r="G113" s="39"/>
      <c r="H113" s="40" t="s">
        <v>155</v>
      </c>
      <c r="I113" s="41" t="str">
        <f ca="1">IF(B113=FALSE,"",TODAY())</f>
        <v/>
      </c>
      <c r="J113" s="30"/>
    </row>
    <row r="114" spans="1:10" ht="15" thickBot="1" x14ac:dyDescent="0.4">
      <c r="A114" s="44"/>
      <c r="B114" s="45"/>
      <c r="C114" s="46"/>
      <c r="D114" s="47"/>
      <c r="E114" s="47"/>
      <c r="F114" s="47"/>
      <c r="G114" s="47"/>
      <c r="H114" s="47"/>
      <c r="I114" s="47"/>
      <c r="J114" s="48"/>
    </row>
  </sheetData>
  <mergeCells count="23">
    <mergeCell ref="H38:I38"/>
    <mergeCell ref="H74:I74"/>
    <mergeCell ref="H55:I55"/>
    <mergeCell ref="B107:F107"/>
    <mergeCell ref="B108:C108"/>
    <mergeCell ref="D108:F108"/>
    <mergeCell ref="B87:I87"/>
    <mergeCell ref="B37:I37"/>
    <mergeCell ref="B109:C109"/>
    <mergeCell ref="D109:F109"/>
    <mergeCell ref="H88:I88"/>
    <mergeCell ref="G1:I1"/>
    <mergeCell ref="F2:I2"/>
    <mergeCell ref="F3:I3"/>
    <mergeCell ref="D2:E2"/>
    <mergeCell ref="D1:E1"/>
    <mergeCell ref="D3:E3"/>
    <mergeCell ref="H7:I7"/>
    <mergeCell ref="B6:I6"/>
    <mergeCell ref="B22:I22"/>
    <mergeCell ref="B54:I54"/>
    <mergeCell ref="B73:I73"/>
    <mergeCell ref="H23:I23"/>
  </mergeCells>
  <conditionalFormatting sqref="F8:F20">
    <cfRule type="expression" dxfId="11" priority="22">
      <formula>$L8=1</formula>
    </cfRule>
  </conditionalFormatting>
  <conditionalFormatting sqref="F8:F20">
    <cfRule type="expression" dxfId="10" priority="21">
      <formula>$L8=1</formula>
    </cfRule>
  </conditionalFormatting>
  <conditionalFormatting sqref="F24:F35">
    <cfRule type="expression" dxfId="9" priority="10">
      <formula>$L24=1</formula>
    </cfRule>
  </conditionalFormatting>
  <conditionalFormatting sqref="F24:F35">
    <cfRule type="expression" dxfId="8" priority="9">
      <formula>$L24=1</formula>
    </cfRule>
  </conditionalFormatting>
  <conditionalFormatting sqref="F39:F52">
    <cfRule type="expression" dxfId="7" priority="8">
      <formula>$L39=1</formula>
    </cfRule>
  </conditionalFormatting>
  <conditionalFormatting sqref="F39:F52">
    <cfRule type="expression" dxfId="6" priority="7">
      <formula>$L39=1</formula>
    </cfRule>
  </conditionalFormatting>
  <conditionalFormatting sqref="F56:F71">
    <cfRule type="expression" dxfId="5" priority="6">
      <formula>$L56=1</formula>
    </cfRule>
  </conditionalFormatting>
  <conditionalFormatting sqref="F56:F71">
    <cfRule type="expression" dxfId="4" priority="5">
      <formula>$L56=1</formula>
    </cfRule>
  </conditionalFormatting>
  <conditionalFormatting sqref="F75:F85">
    <cfRule type="expression" dxfId="3" priority="4">
      <formula>$L75=1</formula>
    </cfRule>
  </conditionalFormatting>
  <conditionalFormatting sqref="F75:F85">
    <cfRule type="expression" dxfId="2" priority="3">
      <formula>$L75=1</formula>
    </cfRule>
  </conditionalFormatting>
  <conditionalFormatting sqref="F89:F103">
    <cfRule type="expression" dxfId="1" priority="2">
      <formula>$L89=1</formula>
    </cfRule>
  </conditionalFormatting>
  <conditionalFormatting sqref="F89:F103">
    <cfRule type="expression" dxfId="0" priority="1">
      <formula>$L89=1</formula>
    </cfRule>
  </conditionalFormatting>
  <pageMargins left="0.75" right="0.75" top="1" bottom="1" header="0.5" footer="0.5"/>
  <pageSetup orientation="portrait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6</xdr:col>
                    <xdr:colOff>419100</xdr:colOff>
                    <xdr:row>110</xdr:row>
                    <xdr:rowOff>95250</xdr:rowOff>
                  </from>
                  <to>
                    <xdr:col>6</xdr:col>
                    <xdr:colOff>793750</xdr:colOff>
                    <xdr:row>110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6</xdr:col>
                    <xdr:colOff>419100</xdr:colOff>
                    <xdr:row>111</xdr:row>
                    <xdr:rowOff>69850</xdr:rowOff>
                  </from>
                  <to>
                    <xdr:col>6</xdr:col>
                    <xdr:colOff>793750</xdr:colOff>
                    <xdr:row>111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6" name="Check Box 10">
              <controlPr defaultSize="0" autoFill="0" autoLine="0" autoPict="0">
                <anchor moveWithCells="1">
                  <from>
                    <xdr:col>6</xdr:col>
                    <xdr:colOff>419100</xdr:colOff>
                    <xdr:row>112</xdr:row>
                    <xdr:rowOff>95250</xdr:rowOff>
                  </from>
                  <to>
                    <xdr:col>6</xdr:col>
                    <xdr:colOff>793750</xdr:colOff>
                    <xdr:row>112</xdr:row>
                    <xdr:rowOff>323850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>
          <x14:formula1>
            <xm:f>Datos!$B$15:$B$17</xm:f>
          </x14:formula1>
          <xm:sqref>F8:F20 F75:F85 F24:F35 F39:F52 F56:F71 F89:F103</xm:sqref>
        </x14:dataValidation>
        <x14:dataValidation type="list" allowBlank="1" showInputMessage="1" showErrorMessage="1">
          <x14:formula1>
            <xm:f>Datos!$B$3:$B$11</xm:f>
          </x14:formula1>
          <xm:sqref>G1</xm:sqref>
        </x14:dataValidation>
        <x14:dataValidation type="list" allowBlank="1" showInputMessage="1" showErrorMessage="1">
          <x14:formula1>
            <xm:f>'Q:\Seguros Constitucion\Auditoria\Contraloria\2026\SISTEMAS\Plan de Trabajo\2026\2do Sem\Evaluaciones\[Cuestionario_Ciberseguridad_TI.xlsx]Datos'!#REF!</xm:f>
          </x14:formula1>
          <xm:sqref>E113</xm:sqref>
        </x14:dataValidation>
        <x14:dataValidation type="list" allowBlank="1" showInputMessage="1" showErrorMessage="1">
          <x14:formula1>
            <xm:f>'Q:\Seguros Constitucion\Auditoria\Contraloria\2026\SISTEMAS\Plan de Trabajo\2026\2do Sem\Evaluaciones\[Cuestionario_Ciberseguridad_TI.xlsx]Datos'!#REF!</xm:f>
          </x14:formula1>
          <xm:sqref>E111:E112</xm:sqref>
        </x14:dataValidation>
        <x14:dataValidation type="list" allowBlank="1">
          <x14:formula1>
            <xm:f>Datos!$A$15:$A$17</xm:f>
          </x14:formula1>
          <xm:sqref>D8:E20 D75:E85 D24:E35 D39:E52 D56:E71 D89:E103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workbookViewId="0">
      <selection activeCell="C12" sqref="C12"/>
    </sheetView>
  </sheetViews>
  <sheetFormatPr baseColWidth="10" defaultRowHeight="14.5" x14ac:dyDescent="0.35"/>
  <cols>
    <col min="2" max="2" width="30" customWidth="1"/>
    <col min="3" max="3" width="30.26953125" bestFit="1" customWidth="1"/>
    <col min="4" max="4" width="29.26953125" bestFit="1" customWidth="1"/>
  </cols>
  <sheetData>
    <row r="1" spans="1:4" ht="15.75" customHeight="1" x14ac:dyDescent="0.35">
      <c r="A1" s="78" t="s">
        <v>22</v>
      </c>
      <c r="B1" s="79"/>
      <c r="C1" s="79"/>
    </row>
    <row r="2" spans="1:4" x14ac:dyDescent="0.35">
      <c r="A2" s="3" t="s">
        <v>0</v>
      </c>
      <c r="B2" s="1" t="s">
        <v>14</v>
      </c>
      <c r="C2" s="1" t="s">
        <v>50</v>
      </c>
      <c r="D2" s="1" t="s">
        <v>12</v>
      </c>
    </row>
    <row r="3" spans="1:4" x14ac:dyDescent="0.35">
      <c r="A3" s="4">
        <v>1</v>
      </c>
      <c r="B3" s="2" t="s">
        <v>19</v>
      </c>
      <c r="C3" s="2" t="s">
        <v>31</v>
      </c>
      <c r="D3" s="5" t="s">
        <v>13</v>
      </c>
    </row>
    <row r="4" spans="1:4" x14ac:dyDescent="0.35">
      <c r="A4" s="4">
        <v>2</v>
      </c>
      <c r="B4" s="2" t="s">
        <v>20</v>
      </c>
      <c r="C4" s="2" t="s">
        <v>32</v>
      </c>
      <c r="D4" s="5" t="s">
        <v>13</v>
      </c>
    </row>
    <row r="5" spans="1:4" x14ac:dyDescent="0.35">
      <c r="A5" s="4">
        <v>3</v>
      </c>
      <c r="B5" s="2" t="s">
        <v>21</v>
      </c>
      <c r="C5" s="2" t="s">
        <v>33</v>
      </c>
      <c r="D5" s="5" t="s">
        <v>13</v>
      </c>
    </row>
    <row r="6" spans="1:4" x14ac:dyDescent="0.35">
      <c r="A6" s="4">
        <v>4</v>
      </c>
      <c r="B6" s="2" t="s">
        <v>16</v>
      </c>
      <c r="C6" s="2" t="s">
        <v>34</v>
      </c>
      <c r="D6" s="5" t="s">
        <v>40</v>
      </c>
    </row>
    <row r="7" spans="1:4" x14ac:dyDescent="0.35">
      <c r="A7" s="4">
        <v>5</v>
      </c>
      <c r="B7" s="2" t="s">
        <v>17</v>
      </c>
      <c r="C7" s="2" t="s">
        <v>35</v>
      </c>
      <c r="D7" s="5" t="s">
        <v>41</v>
      </c>
    </row>
    <row r="8" spans="1:4" x14ac:dyDescent="0.35">
      <c r="A8" s="4">
        <v>6</v>
      </c>
      <c r="B8" s="2" t="s">
        <v>18</v>
      </c>
      <c r="C8" s="2" t="s">
        <v>36</v>
      </c>
      <c r="D8" s="5" t="s">
        <v>42</v>
      </c>
    </row>
    <row r="9" spans="1:4" x14ac:dyDescent="0.35">
      <c r="A9" s="4">
        <v>7</v>
      </c>
      <c r="B9" s="2" t="s">
        <v>15</v>
      </c>
      <c r="C9" s="2" t="s">
        <v>37</v>
      </c>
      <c r="D9" s="5" t="s">
        <v>43</v>
      </c>
    </row>
    <row r="10" spans="1:4" x14ac:dyDescent="0.35">
      <c r="A10" s="4">
        <v>8</v>
      </c>
      <c r="B10" s="2" t="s">
        <v>44</v>
      </c>
      <c r="C10" s="2" t="s">
        <v>44</v>
      </c>
      <c r="D10" s="5" t="s">
        <v>30</v>
      </c>
    </row>
    <row r="11" spans="1:4" x14ac:dyDescent="0.35">
      <c r="A11" s="4">
        <v>9</v>
      </c>
      <c r="B11" s="2" t="s">
        <v>38</v>
      </c>
      <c r="C11" s="2" t="s">
        <v>38</v>
      </c>
      <c r="D11" s="5" t="s">
        <v>39</v>
      </c>
    </row>
    <row r="14" spans="1:4" x14ac:dyDescent="0.35">
      <c r="A14" s="3" t="s">
        <v>25</v>
      </c>
      <c r="B14" s="1" t="s">
        <v>45</v>
      </c>
    </row>
    <row r="15" spans="1:4" x14ac:dyDescent="0.35">
      <c r="A15" s="4" t="s">
        <v>26</v>
      </c>
      <c r="B15" s="2" t="s">
        <v>27</v>
      </c>
    </row>
    <row r="16" spans="1:4" x14ac:dyDescent="0.35">
      <c r="A16" s="4" t="s">
        <v>9</v>
      </c>
      <c r="B16" s="2" t="s">
        <v>28</v>
      </c>
    </row>
    <row r="17" spans="1:4" x14ac:dyDescent="0.35">
      <c r="A17" s="4"/>
      <c r="B17" s="2" t="s">
        <v>29</v>
      </c>
    </row>
    <row r="22" spans="1:4" x14ac:dyDescent="0.35">
      <c r="C22" s="2" t="s">
        <v>145</v>
      </c>
      <c r="D22" s="5" t="s">
        <v>146</v>
      </c>
    </row>
    <row r="23" spans="1:4" x14ac:dyDescent="0.35">
      <c r="C23" s="2" t="s">
        <v>147</v>
      </c>
      <c r="D23" s="5" t="s">
        <v>148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796875" defaultRowHeight="14.5" x14ac:dyDescent="0.35"/>
  <sheetData>
    <row r="1" spans="1:1" x14ac:dyDescent="0.35">
      <c r="A1" t="s">
        <v>7</v>
      </c>
    </row>
    <row r="2" spans="1:1" x14ac:dyDescent="0.35">
      <c r="A2" t="s">
        <v>8</v>
      </c>
    </row>
    <row r="3" spans="1:1" x14ac:dyDescent="0.35">
      <c r="A3" t="s">
        <v>9</v>
      </c>
    </row>
    <row r="4" spans="1:1" x14ac:dyDescent="0.35">
      <c r="A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ERPs TI</vt:lpstr>
      <vt:lpstr>Datos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Rafael Gomez Rodriguez</cp:lastModifiedBy>
  <dcterms:created xsi:type="dcterms:W3CDTF">2026-08-10T18:53:52Z</dcterms:created>
  <dcterms:modified xsi:type="dcterms:W3CDTF">2026-09-02T18:14:22Z</dcterms:modified>
</cp:coreProperties>
</file>