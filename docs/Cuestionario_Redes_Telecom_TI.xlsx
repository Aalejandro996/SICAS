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rgomez\Desktop\Auditoria TI 2026\Levantamiento Información\Gerencia de Tecnología\Redes y Telecomunicaciones\"/>
    </mc:Choice>
  </mc:AlternateContent>
  <bookViews>
    <workbookView xWindow="0" yWindow="0" windowWidth="20490" windowHeight="7770"/>
  </bookViews>
  <sheets>
    <sheet name="Redes y Telecom" sheetId="1" r:id="rId1"/>
    <sheet name="Datos" sheetId="3" r:id="rId2"/>
    <sheet name="DATA" sheetId="2" state="hidden" r:id="rId3"/>
  </sheets>
  <externalReferences>
    <externalReference r:id="rId4"/>
  </externalReferences>
  <definedNames>
    <definedName name="_xlnm._FilterDatabase" localSheetId="0" hidden="1">'Redes y Telecom'!$B$7:$I$56</definedName>
  </definedNames>
  <calcPr calcId="162913"/>
</workbook>
</file>

<file path=xl/calcChain.xml><?xml version="1.0" encoding="utf-8"?>
<calcChain xmlns="http://schemas.openxmlformats.org/spreadsheetml/2006/main">
  <c r="L55" i="1" l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2" i="1"/>
  <c r="K12" i="1"/>
  <c r="L11" i="1"/>
  <c r="K11" i="1"/>
  <c r="P2" i="1" s="1"/>
  <c r="Q13" i="1" s="1"/>
  <c r="L10" i="1"/>
  <c r="K10" i="1"/>
  <c r="L9" i="1"/>
  <c r="K9" i="1"/>
  <c r="L8" i="1"/>
  <c r="K8" i="1"/>
  <c r="N13" i="1"/>
  <c r="S13" i="1"/>
  <c r="L13" i="1"/>
  <c r="K13" i="1"/>
  <c r="P5" i="1"/>
  <c r="P4" i="1"/>
  <c r="D61" i="1" l="1"/>
  <c r="D60" i="1"/>
  <c r="I64" i="1"/>
  <c r="P9" i="1" l="1"/>
  <c r="P6" i="1"/>
  <c r="P10" i="1"/>
  <c r="P3" i="1"/>
  <c r="P8" i="1"/>
  <c r="L56" i="1"/>
  <c r="G55" i="1"/>
  <c r="G54" i="1"/>
  <c r="G53" i="1"/>
  <c r="G52" i="1"/>
  <c r="G51" i="1"/>
  <c r="G50" i="1"/>
  <c r="G49" i="1"/>
  <c r="G48" i="1"/>
  <c r="G47" i="1"/>
  <c r="G46" i="1"/>
  <c r="G45" i="1"/>
  <c r="G41" i="1"/>
  <c r="G40" i="1"/>
  <c r="G39" i="1"/>
  <c r="G38" i="1"/>
  <c r="G37" i="1"/>
  <c r="G36" i="1"/>
  <c r="G35" i="1"/>
  <c r="G34" i="1"/>
  <c r="G33" i="1"/>
  <c r="G32" i="1"/>
  <c r="G27" i="1"/>
  <c r="G28" i="1" l="1"/>
  <c r="G26" i="1"/>
  <c r="G24" i="1"/>
  <c r="G23" i="1"/>
  <c r="G22" i="1"/>
  <c r="G25" i="1" l="1"/>
  <c r="G17" i="1"/>
  <c r="G16" i="1"/>
  <c r="G15" i="1"/>
  <c r="G14" i="1"/>
  <c r="G13" i="1"/>
  <c r="G12" i="1"/>
  <c r="G11" i="1"/>
  <c r="G10" i="1"/>
  <c r="G9" i="1"/>
  <c r="G21" i="1" l="1"/>
  <c r="G8" i="1"/>
  <c r="R13" i="1" s="1"/>
  <c r="G59" i="1" l="1"/>
  <c r="P7" i="1" l="1"/>
  <c r="O13" i="1"/>
  <c r="P13" i="1" l="1"/>
</calcChain>
</file>

<file path=xl/sharedStrings.xml><?xml version="1.0" encoding="utf-8"?>
<sst xmlns="http://schemas.openxmlformats.org/spreadsheetml/2006/main" count="401" uniqueCount="192">
  <si>
    <t>ID</t>
  </si>
  <si>
    <t>Existencia del Control</t>
  </si>
  <si>
    <t>Soporte Documental</t>
  </si>
  <si>
    <t>Evidencia / Entregable</t>
  </si>
  <si>
    <t>Puntuación (%)</t>
  </si>
  <si>
    <t>Detalle:</t>
  </si>
  <si>
    <t>(Indique la justificación, evidencia o plan de acción si aplica...)</t>
  </si>
  <si>
    <t>Respuestas</t>
  </si>
  <si>
    <t>Sí</t>
  </si>
  <si>
    <t>No</t>
  </si>
  <si>
    <t>Parcialmente</t>
  </si>
  <si>
    <t>Observaciones</t>
  </si>
  <si>
    <t>Responsable</t>
  </si>
  <si>
    <t>(Indique Nombre del Responsable...)</t>
  </si>
  <si>
    <t>Departamento a Auditar</t>
  </si>
  <si>
    <t>CIBERSEGURIDAD</t>
  </si>
  <si>
    <t>SERVIDORES Y BASE DE DATOS</t>
  </si>
  <si>
    <t>REDES Y TELECOM.</t>
  </si>
  <si>
    <t>MICROINFORMÁTICA</t>
  </si>
  <si>
    <t>SISTEMAS</t>
  </si>
  <si>
    <t>PRUEBAS Y CERTIFICACIONES</t>
  </si>
  <si>
    <t>SISTEMA EMPRESAS</t>
  </si>
  <si>
    <t>Listado de Responsables</t>
  </si>
  <si>
    <t>Pregunta de Auditoría</t>
  </si>
  <si>
    <t>Resp</t>
  </si>
  <si>
    <t>Si</t>
  </si>
  <si>
    <t>Actualizado</t>
  </si>
  <si>
    <t>Desactualizado</t>
  </si>
  <si>
    <t>Inexistente</t>
  </si>
  <si>
    <t>Carla de Oliveira</t>
  </si>
  <si>
    <t>JEFE SISTEMAS</t>
  </si>
  <si>
    <t>JEFE DE PRUEBAS Y CERTIFICACIONES</t>
  </si>
  <si>
    <t>JEFE DE SISTEMA EMPRESAS</t>
  </si>
  <si>
    <t>JEFE DE SERVIDORES Y BASE DE DATOS</t>
  </si>
  <si>
    <t>JEFE DE REDES Y TELECOM.</t>
  </si>
  <si>
    <t>JEFE DE MICROINFORMÁTICA</t>
  </si>
  <si>
    <t>JEFE DE CIBERSEGURIDAD</t>
  </si>
  <si>
    <t>VICE PRESIDENCIA TI</t>
  </si>
  <si>
    <t>Edgar Rodríguez</t>
  </si>
  <si>
    <t>Juan Mercado</t>
  </si>
  <si>
    <t>Angel Aparicio</t>
  </si>
  <si>
    <t>Moises Ramirez</t>
  </si>
  <si>
    <t>Angel Yánez</t>
  </si>
  <si>
    <t>GERENTE DE SISTEMAS</t>
  </si>
  <si>
    <t>Confirmación</t>
  </si>
  <si>
    <t>Titulo Control</t>
  </si>
  <si>
    <t>Descripcio del Control:</t>
  </si>
  <si>
    <t>ID Control:</t>
  </si>
  <si>
    <t xml:space="preserve">Cuestionario </t>
  </si>
  <si>
    <t>Cargos</t>
  </si>
  <si>
    <t>Herramienta estructurada para evaluar y ponderar el cumplimiento de controles de seguridad de TI.</t>
  </si>
  <si>
    <t>PROMEDIO GENERAL DE CUMPLIMIENTO DE AUDITORÍA</t>
  </si>
  <si>
    <t>Resumen Operativo:</t>
  </si>
  <si>
    <t>¿Se mantienen Acuerdos de Nivel de Servicio (SLA) firmados y vigentes con los proveedores de internet (ISP)?</t>
  </si>
  <si>
    <t>Revisado por:</t>
  </si>
  <si>
    <t>Fecha ejecución</t>
  </si>
  <si>
    <t>Confirmar</t>
  </si>
  <si>
    <t>Recepción</t>
  </si>
  <si>
    <t>JEFE DE AUDITORIA TI</t>
  </si>
  <si>
    <t>Carlos Gómez</t>
  </si>
  <si>
    <t>GERENTE DE CONTRALORIA</t>
  </si>
  <si>
    <t>Luis Pulido</t>
  </si>
  <si>
    <t>1. Gobierno, Arquitectura y Segmentación</t>
  </si>
  <si>
    <t>GOB-01</t>
  </si>
  <si>
    <t>¿Existe un diagrama de topología de red física documentado y actualizado al año en curso?</t>
  </si>
  <si>
    <t>GOB-02</t>
  </si>
  <si>
    <t>¿Existe un diagrama de topología lógica documentado y actualizado al año en curso?</t>
  </si>
  <si>
    <t>GOB-03</t>
  </si>
  <si>
    <t>¿Existe un inventario centralizado y actualizado del hardware de red físico (switches, routers, firewalls, APs)?</t>
  </si>
  <si>
    <t>GOB-04</t>
  </si>
  <si>
    <t>¿Existe un inventario documentado de los componentes de red virtuales (ej. balanceadores, firewalls virtuales)?</t>
  </si>
  <si>
    <t>GOB-05</t>
  </si>
  <si>
    <t>¿Se mantiene un registro centralizado (IPAM) para la asignación controlada de direcciones IP?</t>
  </si>
  <si>
    <t>GOB-06</t>
  </si>
  <si>
    <t>¿Se bloquea por defecto en los firewalls todo tráfico entrante que no esté explícitamente permitido (Deny All)?</t>
  </si>
  <si>
    <t>GOB-07</t>
  </si>
  <si>
    <t>¿Se bloquea por defecto en los firewalls todo tráfico saliente que no esté explícitamente permitido (Deny All)?</t>
  </si>
  <si>
    <t>GOB-08</t>
  </si>
  <si>
    <t>¿Existe una justificación formal y documentada para cada regla configurada en el firewall perimetral?</t>
  </si>
  <si>
    <t>GOB-09</t>
  </si>
  <si>
    <t>¿Se prohíbe técnicamente la existencia de reglas de firewall con origen y destino globales (ej. regla "Any" to "Any")?</t>
  </si>
  <si>
    <t>GOB-10</t>
  </si>
  <si>
    <t>¿Están las redes de producción aisladas lógicamente mediante VLANs/subredes de las redes de desarrollo y pruebas?</t>
  </si>
  <si>
    <t>2. Conectividad Cloud, Microservicios y DevSecOps</t>
  </si>
  <si>
    <t>CLD-01</t>
  </si>
  <si>
    <t>¿Se configuran y aíslan de forma independiente las Redes Privadas Virtuales en la nube (VPC/VNet) según su entorno?</t>
  </si>
  <si>
    <t>CLD-02</t>
  </si>
  <si>
    <t>¿Está restringido el acceso público a las interfaces de administración de los servicios de red administrados en la nube?</t>
  </si>
  <si>
    <t>CLD-03</t>
  </si>
  <si>
    <t>¿Se implementan reglas de grupos de seguridad (Security Groups) que restrinjan el tráfico lateral entre instancias?</t>
  </si>
  <si>
    <t>CLD-04</t>
  </si>
  <si>
    <t>¿El tráfico de red interno entre microservicios (inter-pod) se encuentra cifrado (ej. Service Mesh con mTLS)?</t>
  </si>
  <si>
    <t>CLD-05</t>
  </si>
  <si>
    <t>¿Se emplean políticas de red (Network Policies) para bloquear la comunicación no autorizada entre contenedores/pods?</t>
  </si>
  <si>
    <t>CLD-06</t>
  </si>
  <si>
    <t>¿Se despliega un Firewall de Aplicaciones Web (WAF) para proteger las interfaces de red expuestas a internet?</t>
  </si>
  <si>
    <t>CLD-07</t>
  </si>
  <si>
    <t>¿Se gestionan los cambios en la configuración de la red perimetral o cloud mediante Infraestructura como Código (IaC)?</t>
  </si>
  <si>
    <t>CLD-08</t>
  </si>
  <si>
    <t>¿Se ejecutan análisis estáticos (SAST/IaC) automatizados sobre los scripts de red antes de su despliegue en producción?</t>
  </si>
  <si>
    <t>3. Control de Accesos, VPN y Redes Inalámbricas</t>
  </si>
  <si>
    <t>ACC-01</t>
  </si>
  <si>
    <t>¿El acceso remoto de usuarios a recursos internos se realiza exclusivamente mediante túneles cifrados (VPN o ZTNA)?</t>
  </si>
  <si>
    <t>ACC-02</t>
  </si>
  <si>
    <t>¿Se exige Autenticación Multifactor (MFA) obligatoria para establecer cualquier conexión VPN?</t>
  </si>
  <si>
    <t>ACC-03</t>
  </si>
  <si>
    <t>¿Se valida el estado de seguridad del equipo (antivirus activo, parches) antes de autorizar la conexión a la VPN?</t>
  </si>
  <si>
    <t>ACC-04</t>
  </si>
  <si>
    <t>¿Se encuentra bloqueado el túnel dividido (Split-Tunneling) en los clientes VPN corporativos?</t>
  </si>
  <si>
    <t>ACC-05</t>
  </si>
  <si>
    <t>¿La red Wi-Fi corporativa se encuentra aislada lógicamente mediante VLANs de la red Wi-Fi para invitados?</t>
  </si>
  <si>
    <t>ACC-06</t>
  </si>
  <si>
    <t>¿Se impide técnicamente que los dispositivos en la red Wi-Fi de invitados alcancen la red LAN interna?</t>
  </si>
  <si>
    <t>ACC-07</t>
  </si>
  <si>
    <t>¿El acceso a la red Wi-Fi corporativa utiliza protocolos de seguridad empresariales (ej. WPA2/WPA3 Enterprise)?</t>
  </si>
  <si>
    <t>ACC-08</t>
  </si>
  <si>
    <t>¿La autenticación de la red Wi-Fi corporativa se encuentra vinculada a un directorio de identidades centralizado?</t>
  </si>
  <si>
    <t>ACC-09</t>
  </si>
  <si>
    <t>¿La interfaz de administración de los switches y routers está restringida lógicamente a las IPs exclusivas del equipo de TI?</t>
  </si>
  <si>
    <t>ACC-10</t>
  </si>
  <si>
    <t>¿Se realiza el cambio inmediato de las credenciales locales en los equipos de red tras el egreso de personal administrativo?</t>
  </si>
  <si>
    <t>4. Monitoreo, Continuidad y Resiliencia Física</t>
  </si>
  <si>
    <t>MON-01</t>
  </si>
  <si>
    <t>¿Los dispositivos críticos de red envían sus bitácoras de eventos (Syslog) a un servidor centralizado?</t>
  </si>
  <si>
    <t>MON-02</t>
  </si>
  <si>
    <t>¿El servidor centralizado que almacena las bitácoras de red se encuentra en un entorno lógicamente independiente?</t>
  </si>
  <si>
    <t>MON-03</t>
  </si>
  <si>
    <t>¿Se cuenta con un Sistema de Prevención/Detección de Intrusiones (IPS/IDS) activo analizando el tráfico perimetral?</t>
  </si>
  <si>
    <t>MON-04</t>
  </si>
  <si>
    <t>¿Los equipos principales de red están ubicados en cuartos con acceso físico restringido bajo llave o control biométrico?</t>
  </si>
  <si>
    <t>MON-05</t>
  </si>
  <si>
    <t>¿Los cuartos de comunicaciones cuentan con sistemas de climatización dedicados y funcionales?</t>
  </si>
  <si>
    <t>MON-06</t>
  </si>
  <si>
    <t>¿Los equipos principales de red están respaldados por sistemas de alimentación ininterrumpida (UPS)?</t>
  </si>
  <si>
    <t>MON-07</t>
  </si>
  <si>
    <t>MON-08</t>
  </si>
  <si>
    <t>¿La empresa cuenta con enlaces de internet redundantes (principal y respaldo) para garantizar alta disponibilidad?</t>
  </si>
  <si>
    <t>MON-09</t>
  </si>
  <si>
    <t>¿Se mide y documenta periódicamente el tiempo de conmutación (failover) del enlace principal hacia el de contingencia?</t>
  </si>
  <si>
    <t>MON-10</t>
  </si>
  <si>
    <t>¿Están formalizadas penalidades económicas en los contratos ISP en caso de incumplir los límites de inactividad?</t>
  </si>
  <si>
    <t>MON-11</t>
  </si>
  <si>
    <t>¿Existe un registro auditable e individual para registrar incidentes ambientales (cortes eléctricos, fallas de clima)?</t>
  </si>
  <si>
    <t>Resumen Documentación:</t>
  </si>
  <si>
    <t>Elaborado por:</t>
  </si>
  <si>
    <t>Fecha Recepción</t>
  </si>
  <si>
    <t>Verificado por:</t>
  </si>
  <si>
    <t>Verificación</t>
  </si>
  <si>
    <t>Fecha Verificación</t>
  </si>
  <si>
    <t>AC-A2-37-08-2026-6</t>
  </si>
  <si>
    <t>Métrica de Valor</t>
  </si>
  <si>
    <t>Descripción Operativa</t>
  </si>
  <si>
    <t>Fórmula de Excel (Español)</t>
  </si>
  <si>
    <t>Total de Controles Evaluados</t>
  </si>
  <si>
    <t>Cuenta el número de ítems auditados en el cuestionario.</t>
  </si>
  <si>
    <t>Controles Cumplidos (Sí)</t>
  </si>
  <si>
    <t>Conteo de controles implementados satisfactoriamente.</t>
  </si>
  <si>
    <t>Controles Documentados</t>
  </si>
  <si>
    <t>Conteo de controles con implementación incompleta.</t>
  </si>
  <si>
    <t>Brechas / Deficiencias (No)</t>
  </si>
  <si>
    <t>Conteo de controles no ejecutados o inexistentes.</t>
  </si>
  <si>
    <t>Tasa de Cumplimiento Efectivo (%)</t>
  </si>
  <si>
    <t>Porcentaje ponderado de cumplimiento asignando 100% a "Sí", 50% a "Parcial" y 0% a "No".</t>
  </si>
  <si>
    <t>Puntaje Ponderado de Madurez</t>
  </si>
  <si>
    <t>Calificación final de 1 a 5 ajustada según el peso específico de cada control.</t>
  </si>
  <si>
    <t>Brechas de Riesgo Alto</t>
  </si>
  <si>
    <t>Cantidad de fallas críticas que requieren corrección inmediata.</t>
  </si>
  <si>
    <t>Brechas de Riesgo Medio</t>
  </si>
  <si>
    <t>Deficiencias moderadas a corregir en plazo medio.</t>
  </si>
  <si>
    <t>Índice de Exposición al Riesgo (%)</t>
  </si>
  <si>
    <t>Porcentaje de controles no cumplidos clasificados bajo riesgo Alto o Medio.</t>
  </si>
  <si>
    <t>Área Evaluada</t>
  </si>
  <si>
    <t>Promedio Cumplimiento (%)</t>
  </si>
  <si>
    <t>Interpretación</t>
  </si>
  <si>
    <t>Cantidad Controles</t>
  </si>
  <si>
    <t>%</t>
  </si>
  <si>
    <t>Cantidad Doc.</t>
  </si>
  <si>
    <t>si</t>
  </si>
  <si>
    <t>Pen revisión</t>
  </si>
  <si>
    <t>Pertenece a la herramienta GLPI</t>
  </si>
  <si>
    <t>Pertenece a el Servidor de manera Dinamica vinculado al servidor DHCP</t>
  </si>
  <si>
    <t>Las politicas de acceso depende de los servicios</t>
  </si>
  <si>
    <t>Existen trafico controlado</t>
  </si>
  <si>
    <t>Controlado por DAYCO</t>
  </si>
  <si>
    <t>Pertenecen al Proveedor y servicios</t>
  </si>
  <si>
    <t>SI</t>
  </si>
  <si>
    <t>Se monitorean</t>
  </si>
  <si>
    <t>Se dispone de la hheramienta ZABBIX</t>
  </si>
  <si>
    <t>Se esta implementando los controlesa Proveedores</t>
  </si>
  <si>
    <t>no</t>
  </si>
  <si>
    <t>Se controla por perfil de usuario</t>
  </si>
  <si>
    <t>Se esta implementando con SABIZ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</si>
</sst>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19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  <font>
      <sz val="10"/>
      <name val="Calibri"/>
      <family val="2"/>
    </font>
    <font>
      <i/>
      <sz val="10"/>
      <color rgb="FF595959"/>
      <name val="Calibri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1B365D"/>
      <name val="Calibri"/>
      <family val="2"/>
    </font>
    <font>
      <b/>
      <i/>
      <sz val="10"/>
      <color rgb="FF555555"/>
      <name val="Calibri"/>
      <family val="2"/>
    </font>
    <font>
      <b/>
      <sz val="9.5"/>
      <color rgb="FF333333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1B365D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  <font>
      <sz val="11.5"/>
      <color rgb="FF1F1F1F"/>
      <name val="Courier New"/>
      <family val="3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8EEF5"/>
        <bgColor rgb="FFE8EEF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4659260841701"/>
        <bgColor indexed="64"/>
      </patternFill>
    </fill>
  </fills>
  <borders count="3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medium">
        <color theme="0" tint="-0.499984740745262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theme="0" tint="-0.499984740745262"/>
      </left>
      <right/>
      <top/>
      <bottom style="thin">
        <color rgb="FFA6A6A6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/>
      <right/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B365D"/>
      </left>
      <right style="thin">
        <color rgb="FF1B365D"/>
      </right>
      <top style="thin">
        <color rgb="FF1B365D"/>
      </top>
      <bottom style="double">
        <color rgb="FF1B365D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/>
      </right>
      <top style="thin">
        <color theme="0" tint="-0.2499465926084170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24994659260841701"/>
      </top>
      <bottom style="thin">
        <color theme="0"/>
      </bottom>
      <diagonal/>
    </border>
    <border>
      <left style="thin">
        <color theme="0"/>
      </left>
      <right style="thin">
        <color theme="0" tint="-0.24994659260841701"/>
      </right>
      <top style="thin">
        <color theme="0" tint="-0.24994659260841701"/>
      </top>
      <bottom style="thin">
        <color theme="0"/>
      </bottom>
      <diagonal/>
    </border>
    <border>
      <left style="thin">
        <color theme="0" tint="-0.2499465926084170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24994659260841701"/>
      </right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 style="thin">
        <color theme="0"/>
      </right>
      <top style="thin">
        <color theme="0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24994659260841701"/>
      </bottom>
      <diagonal/>
    </border>
    <border>
      <left style="thin">
        <color theme="0"/>
      </left>
      <right style="thin">
        <color theme="0" tint="-0.24994659260841701"/>
      </right>
      <top style="thin">
        <color theme="0"/>
      </top>
      <bottom style="thin">
        <color theme="0" tint="-0.2499465926084170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3">
    <xf numFmtId="0" fontId="0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8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9" fontId="3" fillId="0" borderId="5" xfId="0" applyNumberFormat="1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vertical="top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7" fillId="0" borderId="14" xfId="0" applyFont="1" applyBorder="1" applyAlignment="1" applyProtection="1">
      <alignment vertical="center" wrapText="1"/>
      <protection hidden="1"/>
    </xf>
    <xf numFmtId="0" fontId="2" fillId="3" borderId="5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9" fontId="3" fillId="0" borderId="0" xfId="0" applyNumberFormat="1" applyFont="1" applyBorder="1" applyAlignment="1">
      <alignment horizontal="center" vertical="center" wrapText="1"/>
    </xf>
    <xf numFmtId="0" fontId="4" fillId="4" borderId="0" xfId="0" applyFont="1" applyFill="1" applyBorder="1" applyAlignment="1">
      <alignment horizontal="left" vertical="top" wrapText="1"/>
    </xf>
    <xf numFmtId="0" fontId="3" fillId="0" borderId="17" xfId="0" applyFont="1" applyBorder="1" applyAlignment="1">
      <alignment horizontal="center" vertical="center" wrapText="1"/>
    </xf>
    <xf numFmtId="0" fontId="4" fillId="4" borderId="18" xfId="0" applyFont="1" applyFill="1" applyBorder="1" applyAlignment="1">
      <alignment vertical="top" wrapText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7" xfId="0" applyBorder="1" applyAlignment="1" applyProtection="1">
      <protection hidden="1"/>
    </xf>
    <xf numFmtId="0" fontId="0" fillId="0" borderId="8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0" xfId="0" applyBorder="1" applyAlignment="1" applyProtection="1">
      <protection hidden="1"/>
    </xf>
    <xf numFmtId="0" fontId="0" fillId="0" borderId="10" xfId="0" applyBorder="1" applyProtection="1">
      <protection hidden="1"/>
    </xf>
    <xf numFmtId="9" fontId="13" fillId="6" borderId="15" xfId="0" applyNumberFormat="1" applyFont="1" applyFill="1" applyBorder="1" applyAlignment="1" applyProtection="1">
      <alignment horizontal="center" vertical="center"/>
      <protection hidden="1"/>
    </xf>
    <xf numFmtId="0" fontId="12" fillId="0" borderId="9" xfId="0" applyFont="1" applyBorder="1" applyProtection="1">
      <protection hidden="1"/>
    </xf>
    <xf numFmtId="0" fontId="12" fillId="0" borderId="9" xfId="0" applyFont="1" applyBorder="1" applyAlignment="1" applyProtection="1">
      <alignment horizontal="center" wrapText="1"/>
      <protection hidden="1"/>
    </xf>
    <xf numFmtId="0" fontId="11" fillId="0" borderId="0" xfId="0" applyFont="1" applyBorder="1" applyAlignment="1" applyProtection="1">
      <alignment horizontal="center" wrapText="1"/>
      <protection hidden="1"/>
    </xf>
    <xf numFmtId="0" fontId="12" fillId="0" borderId="0" xfId="0" applyFont="1" applyAlignment="1" applyProtection="1">
      <alignment horizontal="center" wrapText="1"/>
      <protection hidden="1"/>
    </xf>
    <xf numFmtId="0" fontId="0" fillId="0" borderId="0" xfId="0" applyAlignment="1" applyProtection="1">
      <alignment horizontal="center" wrapText="1"/>
      <protection hidden="1"/>
    </xf>
    <xf numFmtId="0" fontId="0" fillId="0" borderId="10" xfId="0" applyBorder="1" applyAlignment="1" applyProtection="1">
      <alignment horizontal="center" wrapText="1"/>
      <protection hidden="1"/>
    </xf>
    <xf numFmtId="0" fontId="0" fillId="0" borderId="16" xfId="0" applyBorder="1" applyAlignment="1" applyProtection="1">
      <alignment horizontal="right" vertical="center" wrapText="1"/>
      <protection hidden="1"/>
    </xf>
    <xf numFmtId="0" fontId="14" fillId="7" borderId="16" xfId="0" applyFont="1" applyFill="1" applyBorder="1" applyAlignment="1" applyProtection="1">
      <alignment horizontal="left" vertical="center" wrapText="1"/>
      <protection hidden="1"/>
    </xf>
    <xf numFmtId="0" fontId="0" fillId="0" borderId="16" xfId="0" applyBorder="1" applyAlignment="1" applyProtection="1">
      <alignment horizontal="center" vertical="center" wrapText="1"/>
      <protection hidden="1"/>
    </xf>
    <xf numFmtId="164" fontId="0" fillId="0" borderId="16" xfId="0" applyNumberFormat="1" applyBorder="1" applyAlignment="1" applyProtection="1">
      <alignment horizontal="center" vertical="center" wrapText="1"/>
      <protection hidden="1"/>
    </xf>
    <xf numFmtId="0" fontId="11" fillId="0" borderId="0" xfId="0" applyFont="1" applyBorder="1" applyProtection="1">
      <protection hidden="1"/>
    </xf>
    <xf numFmtId="0" fontId="12" fillId="0" borderId="0" xfId="0" applyFont="1" applyBorder="1" applyAlignment="1" applyProtection="1">
      <protection hidden="1"/>
    </xf>
    <xf numFmtId="0" fontId="12" fillId="0" borderId="11" xfId="0" applyFont="1" applyBorder="1" applyProtection="1">
      <protection hidden="1"/>
    </xf>
    <xf numFmtId="0" fontId="12" fillId="0" borderId="13" xfId="0" applyFont="1" applyBorder="1" applyProtection="1">
      <protection hidden="1"/>
    </xf>
    <xf numFmtId="0" fontId="12" fillId="0" borderId="13" xfId="0" applyFont="1" applyBorder="1" applyAlignment="1" applyProtection="1">
      <protection hidden="1"/>
    </xf>
    <xf numFmtId="0" fontId="0" fillId="0" borderId="13" xfId="0" applyBorder="1" applyProtection="1">
      <protection hidden="1"/>
    </xf>
    <xf numFmtId="0" fontId="0" fillId="0" borderId="12" xfId="0" applyBorder="1" applyProtection="1">
      <protection hidden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3" fillId="9" borderId="25" xfId="0" applyFont="1" applyFill="1" applyBorder="1" applyAlignment="1">
      <alignment horizontal="center" vertical="center" wrapText="1"/>
    </xf>
    <xf numFmtId="0" fontId="3" fillId="9" borderId="26" xfId="0" applyFont="1" applyFill="1" applyBorder="1" applyAlignment="1">
      <alignment horizontal="center" vertical="center" wrapText="1"/>
    </xf>
    <xf numFmtId="0" fontId="3" fillId="9" borderId="27" xfId="0" applyFont="1" applyFill="1" applyBorder="1" applyAlignment="1">
      <alignment horizontal="center" vertical="center" wrapText="1"/>
    </xf>
    <xf numFmtId="0" fontId="3" fillId="9" borderId="28" xfId="0" applyFont="1" applyFill="1" applyBorder="1" applyAlignment="1">
      <alignment horizontal="center" vertical="center" wrapText="1"/>
    </xf>
    <xf numFmtId="0" fontId="3" fillId="9" borderId="29" xfId="0" applyFont="1" applyFill="1" applyBorder="1" applyAlignment="1">
      <alignment horizontal="center" vertical="center" wrapText="1"/>
    </xf>
    <xf numFmtId="0" fontId="3" fillId="9" borderId="30" xfId="0" applyFont="1" applyFill="1" applyBorder="1" applyAlignment="1">
      <alignment horizontal="center" vertical="center" wrapText="1"/>
    </xf>
    <xf numFmtId="0" fontId="16" fillId="0" borderId="31" xfId="0" applyFont="1" applyBorder="1" applyAlignment="1">
      <alignment horizontal="left" vertical="center"/>
    </xf>
    <xf numFmtId="0" fontId="0" fillId="0" borderId="0" xfId="0" applyProtection="1">
      <protection hidden="1"/>
    </xf>
    <xf numFmtId="0" fontId="17" fillId="0" borderId="31" xfId="0" applyFont="1" applyBorder="1" applyAlignment="1">
      <alignment horizontal="left" vertical="center"/>
    </xf>
    <xf numFmtId="0" fontId="18" fillId="0" borderId="31" xfId="0" applyFont="1" applyBorder="1" applyAlignment="1">
      <alignment horizontal="left" vertical="center"/>
    </xf>
    <xf numFmtId="10" fontId="18" fillId="0" borderId="31" xfId="2" applyNumberFormat="1" applyFont="1" applyBorder="1" applyAlignment="1">
      <alignment horizontal="left" vertical="center"/>
    </xf>
    <xf numFmtId="0" fontId="0" fillId="0" borderId="0" xfId="0" applyAlignment="1" applyProtection="1">
      <protection hidden="1"/>
    </xf>
    <xf numFmtId="0" fontId="3" fillId="0" borderId="1" xfId="0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9" fillId="0" borderId="0" xfId="0" applyFont="1" applyBorder="1" applyAlignment="1" applyProtection="1">
      <alignment horizontal="right" vertical="center"/>
      <protection hidden="1"/>
    </xf>
    <xf numFmtId="0" fontId="0" fillId="0" borderId="0" xfId="0" applyBorder="1" applyProtection="1">
      <protection hidden="1"/>
    </xf>
    <xf numFmtId="0" fontId="10" fillId="0" borderId="0" xfId="0" applyFont="1" applyBorder="1" applyAlignment="1" applyProtection="1">
      <alignment horizontal="center" vertical="center"/>
      <protection hidden="1"/>
    </xf>
    <xf numFmtId="0" fontId="5" fillId="0" borderId="0" xfId="0" applyFont="1" applyBorder="1" applyProtection="1">
      <protection hidden="1"/>
    </xf>
    <xf numFmtId="0" fontId="1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8" fillId="0" borderId="0" xfId="0" applyFont="1" applyBorder="1" applyAlignment="1" applyProtection="1">
      <alignment horizontal="right" vertical="center"/>
      <protection hidden="1"/>
    </xf>
    <xf numFmtId="0" fontId="7" fillId="0" borderId="14" xfId="0" applyFont="1" applyBorder="1" applyAlignment="1" applyProtection="1">
      <alignment horizontal="center" vertical="center" wrapText="1"/>
      <protection hidden="1"/>
    </xf>
    <xf numFmtId="0" fontId="6" fillId="8" borderId="19" xfId="0" applyFont="1" applyFill="1" applyBorder="1" applyAlignment="1" applyProtection="1">
      <alignment horizontal="center" vertical="center"/>
      <protection hidden="1"/>
    </xf>
    <xf numFmtId="0" fontId="6" fillId="8" borderId="20" xfId="0" applyFont="1" applyFill="1" applyBorder="1" applyAlignment="1" applyProtection="1">
      <alignment horizontal="center" vertical="center"/>
      <protection hidden="1"/>
    </xf>
    <xf numFmtId="0" fontId="6" fillId="8" borderId="21" xfId="0" applyFont="1" applyFill="1" applyBorder="1" applyAlignment="1" applyProtection="1">
      <alignment horizontal="center" vertical="center"/>
      <protection hidden="1"/>
    </xf>
    <xf numFmtId="0" fontId="6" fillId="5" borderId="14" xfId="0" applyFont="1" applyFill="1" applyBorder="1" applyAlignment="1" applyProtection="1">
      <alignment horizontal="center" vertical="center"/>
      <protection hidden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11"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CheckBox" fmlaLink="$B$63" lockText="1" noThreeD="1"/>
</file>

<file path=xl/ctrlProps/ctrlProp2.xml><?xml version="1.0" encoding="utf-8"?>
<formControlPr xmlns="http://schemas.microsoft.com/office/spreadsheetml/2009/9/main" objectType="CheckBox" fmlaLink="$B$64" lockText="1" noThreeD="1"/>
</file>

<file path=xl/ctrlProps/ctrlProp3.xml><?xml version="1.0" encoding="utf-8"?>
<formControlPr xmlns="http://schemas.microsoft.com/office/spreadsheetml/2009/9/main" objectType="CheckBox" fmlaLink="$B$65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Presentaciones/Agosto/PRESENTACI&#211;N%20PLAN%20DE%20TRABAJO%202026%20-%20VP%20TI.ppt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166688</xdr:rowOff>
    </xdr:from>
    <xdr:to>
      <xdr:col>2</xdr:col>
      <xdr:colOff>695908</xdr:colOff>
      <xdr:row>3</xdr:row>
      <xdr:rowOff>63501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5F69E76C-1042-4AE2-ACD7-32A0F42E8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688"/>
          <a:ext cx="1446002" cy="10358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62</xdr:row>
          <xdr:rowOff>165100</xdr:rowOff>
        </xdr:from>
        <xdr:to>
          <xdr:col>6</xdr:col>
          <xdr:colOff>603250</xdr:colOff>
          <xdr:row>62</xdr:row>
          <xdr:rowOff>355600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63</xdr:row>
          <xdr:rowOff>184150</xdr:rowOff>
        </xdr:from>
        <xdr:to>
          <xdr:col>6</xdr:col>
          <xdr:colOff>603250</xdr:colOff>
          <xdr:row>63</xdr:row>
          <xdr:rowOff>361950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64</xdr:row>
          <xdr:rowOff>209550</xdr:rowOff>
        </xdr:from>
        <xdr:to>
          <xdr:col>6</xdr:col>
          <xdr:colOff>603250</xdr:colOff>
          <xdr:row>64</xdr:row>
          <xdr:rowOff>381000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57150</xdr:rowOff>
    </xdr:from>
    <xdr:to>
      <xdr:col>3</xdr:col>
      <xdr:colOff>0</xdr:colOff>
      <xdr:row>1</xdr:row>
      <xdr:rowOff>373515</xdr:rowOff>
    </xdr:to>
    <xdr:sp macro="" textlink="">
      <xdr:nvSpPr>
        <xdr:cNvPr id="2" name="Flecha: hacia la izquierda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E0EFCF-8664-EC85-E882-1F2CC34CD858}"/>
            </a:ext>
          </a:extLst>
        </xdr:cNvPr>
        <xdr:cNvSpPr/>
      </xdr:nvSpPr>
      <xdr:spPr>
        <a:xfrm>
          <a:off x="11163300" y="57150"/>
          <a:ext cx="876738" cy="506865"/>
        </a:xfrm>
        <a:prstGeom prst="leftArrow">
          <a:avLst/>
        </a:prstGeom>
        <a:solidFill>
          <a:srgbClr val="FFC00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>
          <a:defPPr>
            <a:defRPr lang="es-V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VE" b="1">
            <a:ln/>
            <a:solidFill>
              <a:schemeClr val="accent4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Seguros%20Constitucion\Auditoria\Contraloria\2026\SISTEMAS\Plan%20de%20Trabajo\2026\2do%20Sem\Evaluaciones\Cuestionario_Ciberseguridad_T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6"/>
  <sheetViews>
    <sheetView showGridLines="0" tabSelected="1" zoomScale="80" zoomScaleNormal="80" workbookViewId="0">
      <selection activeCell="D61" sqref="D61:F61"/>
    </sheetView>
  </sheetViews>
  <sheetFormatPr baseColWidth="10" defaultColWidth="9.1796875" defaultRowHeight="14.5" x14ac:dyDescent="0.35"/>
  <cols>
    <col min="1" max="1" width="3.26953125" customWidth="1"/>
    <col min="2" max="2" width="8" customWidth="1"/>
    <col min="3" max="3" width="55.7265625" customWidth="1"/>
    <col min="4" max="6" width="16.81640625" customWidth="1"/>
    <col min="7" max="7" width="15.54296875" customWidth="1"/>
    <col min="8" max="8" width="12.7265625" customWidth="1"/>
    <col min="9" max="9" width="45.81640625" customWidth="1"/>
    <col min="10" max="10" width="3.7265625" customWidth="1"/>
    <col min="11" max="11" width="0" hidden="1" customWidth="1"/>
    <col min="12" max="12" width="9.1796875" hidden="1" customWidth="1"/>
    <col min="13" max="21" width="0" hidden="1" customWidth="1"/>
  </cols>
  <sheetData>
    <row r="1" spans="1:19" ht="36.75" customHeight="1" thickBot="1" x14ac:dyDescent="0.4">
      <c r="D1" s="83" t="s">
        <v>45</v>
      </c>
      <c r="E1" s="83"/>
      <c r="F1" s="19" t="s">
        <v>48</v>
      </c>
      <c r="G1" s="79" t="s">
        <v>17</v>
      </c>
      <c r="H1" s="79"/>
      <c r="I1" s="79"/>
      <c r="N1" s="62" t="s">
        <v>150</v>
      </c>
      <c r="O1" s="62" t="s">
        <v>151</v>
      </c>
      <c r="P1" s="62" t="s">
        <v>152</v>
      </c>
      <c r="Q1" s="63"/>
      <c r="R1" s="63"/>
      <c r="S1" s="63"/>
    </row>
    <row r="2" spans="1:19" ht="36.75" customHeight="1" thickBot="1" x14ac:dyDescent="0.4">
      <c r="D2" s="83" t="s">
        <v>46</v>
      </c>
      <c r="E2" s="83"/>
      <c r="F2" s="79" t="s">
        <v>50</v>
      </c>
      <c r="G2" s="79"/>
      <c r="H2" s="79"/>
      <c r="I2" s="79"/>
      <c r="N2" s="62" t="s">
        <v>153</v>
      </c>
      <c r="O2" s="64" t="s">
        <v>154</v>
      </c>
      <c r="P2" s="65">
        <f>COUNT(K8:K103)</f>
        <v>48</v>
      </c>
      <c r="Q2" s="63"/>
      <c r="R2" s="63"/>
      <c r="S2" s="63"/>
    </row>
    <row r="3" spans="1:19" ht="16" thickBot="1" x14ac:dyDescent="0.4">
      <c r="D3" s="83" t="s">
        <v>47</v>
      </c>
      <c r="E3" s="83"/>
      <c r="F3" s="80" t="s">
        <v>149</v>
      </c>
      <c r="G3" s="81"/>
      <c r="H3" s="81"/>
      <c r="I3" s="82"/>
      <c r="N3" s="62" t="s">
        <v>155</v>
      </c>
      <c r="O3" s="64" t="s">
        <v>156</v>
      </c>
      <c r="P3" s="65">
        <f>COUNTIF(D8:D103, "Si")</f>
        <v>36</v>
      </c>
      <c r="Q3" s="63"/>
      <c r="R3" s="63"/>
      <c r="S3" s="63"/>
    </row>
    <row r="4" spans="1:19" ht="16" thickBot="1" x14ac:dyDescent="0.4">
      <c r="N4" s="62" t="s">
        <v>157</v>
      </c>
      <c r="O4" s="64" t="s">
        <v>158</v>
      </c>
      <c r="P4" s="65">
        <f>COUNTIF(E8:E103, "Si")</f>
        <v>36</v>
      </c>
      <c r="Q4" s="63"/>
      <c r="R4" s="63"/>
      <c r="S4" s="63"/>
    </row>
    <row r="5" spans="1:19" ht="16" thickBot="1" x14ac:dyDescent="0.4">
      <c r="A5" s="11"/>
      <c r="B5" s="12"/>
      <c r="C5" s="12"/>
      <c r="D5" s="12"/>
      <c r="E5" s="12"/>
      <c r="F5" s="12"/>
      <c r="G5" s="12"/>
      <c r="H5" s="12"/>
      <c r="I5" s="12"/>
      <c r="J5" s="13"/>
      <c r="N5" s="62" t="s">
        <v>159</v>
      </c>
      <c r="O5" s="64" t="s">
        <v>160</v>
      </c>
      <c r="P5" s="65">
        <f>COUNTIF(F8:F103, "Inexistente")</f>
        <v>3</v>
      </c>
      <c r="Q5" s="63"/>
      <c r="R5" s="63"/>
      <c r="S5" s="63"/>
    </row>
    <row r="6" spans="1:19" ht="15" customHeight="1" thickBot="1" x14ac:dyDescent="0.4">
      <c r="A6" s="14"/>
      <c r="B6" s="76" t="s">
        <v>62</v>
      </c>
      <c r="C6" s="76"/>
      <c r="D6" s="76"/>
      <c r="E6" s="76"/>
      <c r="F6" s="76"/>
      <c r="G6" s="76"/>
      <c r="H6" s="76"/>
      <c r="I6" s="76"/>
      <c r="J6" s="15"/>
      <c r="N6" s="62" t="s">
        <v>161</v>
      </c>
      <c r="O6" s="64" t="s">
        <v>162</v>
      </c>
      <c r="P6" s="66">
        <f>(COUNTIF(D8:D103,"Si")+(COUNTIF(E8:E103,"SI")+(COUNTIF(F8:F103,"Actualizado")*0.5))/COUNT(K8:K103))*0.01</f>
        <v>0.37031249999999999</v>
      </c>
      <c r="Q6" s="63"/>
      <c r="R6" s="63"/>
      <c r="S6" s="63"/>
    </row>
    <row r="7" spans="1:19" ht="29.5" thickBot="1" x14ac:dyDescent="0.4">
      <c r="A7" s="14"/>
      <c r="B7" s="20" t="s">
        <v>0</v>
      </c>
      <c r="C7" s="20" t="s">
        <v>23</v>
      </c>
      <c r="D7" s="20" t="s">
        <v>1</v>
      </c>
      <c r="E7" s="20" t="s">
        <v>2</v>
      </c>
      <c r="F7" s="20" t="s">
        <v>3</v>
      </c>
      <c r="G7" s="20" t="s">
        <v>4</v>
      </c>
      <c r="H7" s="77" t="s">
        <v>11</v>
      </c>
      <c r="I7" s="77"/>
      <c r="J7" s="15"/>
      <c r="N7" s="62" t="s">
        <v>163</v>
      </c>
      <c r="O7" s="64" t="s">
        <v>164</v>
      </c>
      <c r="P7" s="65">
        <f>SUMPRODUCT((D8:D103="Si")*1 + (E8:E103="Si")*0.5, F8:F103="Actualizado") / SUM(G8:G103) * 5</f>
        <v>0</v>
      </c>
      <c r="Q7" s="63"/>
      <c r="R7" s="63"/>
      <c r="S7" s="63"/>
    </row>
    <row r="8" spans="1:19" ht="51" customHeight="1" thickBot="1" x14ac:dyDescent="0.4">
      <c r="A8" s="14"/>
      <c r="B8" s="6" t="s">
        <v>63</v>
      </c>
      <c r="C8" s="7" t="s">
        <v>64</v>
      </c>
      <c r="D8" s="56" t="s">
        <v>177</v>
      </c>
      <c r="E8" s="57" t="s">
        <v>25</v>
      </c>
      <c r="F8" s="58" t="s">
        <v>27</v>
      </c>
      <c r="G8" s="8">
        <f>IF(D8="","",IF(D8="No",0,0.4+IF(E8="Si",0.3,0)+IF(F8="Actualizado",0.3,IF(F8="Desactualizado",0.15,0))))</f>
        <v>0.85</v>
      </c>
      <c r="H8" s="9" t="s">
        <v>5</v>
      </c>
      <c r="I8" s="10" t="s">
        <v>178</v>
      </c>
      <c r="J8" s="15"/>
      <c r="K8" s="63">
        <f t="shared" ref="K8:K13" si="0">IF(H8="Detalle:",1,0)</f>
        <v>1</v>
      </c>
      <c r="L8">
        <f t="shared" ref="L8:L13" si="1">IF(E8="","",IF(AND(E8="No",F8&lt;&gt;"Inexistente"),1,0))</f>
        <v>0</v>
      </c>
      <c r="N8" s="62" t="s">
        <v>165</v>
      </c>
      <c r="O8" s="64" t="s">
        <v>166</v>
      </c>
      <c r="P8" s="65">
        <f>COUNTIFS(D8:D103, "No", E8:E103, "No",F8:F103,"Inexistente")</f>
        <v>3</v>
      </c>
      <c r="Q8" s="63"/>
      <c r="R8" s="63"/>
      <c r="S8" s="63"/>
    </row>
    <row r="9" spans="1:19" ht="51" customHeight="1" thickBot="1" x14ac:dyDescent="0.4">
      <c r="A9" s="14"/>
      <c r="B9" s="6" t="s">
        <v>65</v>
      </c>
      <c r="C9" s="7" t="s">
        <v>66</v>
      </c>
      <c r="D9" s="56" t="s">
        <v>177</v>
      </c>
      <c r="E9" s="57" t="s">
        <v>177</v>
      </c>
      <c r="F9" s="58" t="s">
        <v>27</v>
      </c>
      <c r="G9" s="8">
        <f t="shared" ref="G9:G17" si="2">IF(D9="","",IF(D9="No",0,0.4+IF(E9="Si",0.3,0)+IF(F9="Actualizado",0.3,IF(F9="Desactualizado",0.15,0))))</f>
        <v>0.85</v>
      </c>
      <c r="H9" s="9" t="s">
        <v>5</v>
      </c>
      <c r="I9" s="10" t="s">
        <v>6</v>
      </c>
      <c r="J9" s="15"/>
      <c r="K9" s="63">
        <f t="shared" si="0"/>
        <v>1</v>
      </c>
      <c r="L9">
        <f t="shared" si="1"/>
        <v>0</v>
      </c>
      <c r="N9" s="62" t="s">
        <v>167</v>
      </c>
      <c r="O9" s="64" t="s">
        <v>168</v>
      </c>
      <c r="P9" s="65">
        <f>COUNTIFS(D8:D103, "Si", E8:E103, "Si",F8:F103,"Desactualizado")</f>
        <v>9</v>
      </c>
      <c r="Q9" s="63"/>
      <c r="R9" s="63"/>
      <c r="S9" s="63"/>
    </row>
    <row r="10" spans="1:19" ht="51" customHeight="1" thickBot="1" x14ac:dyDescent="0.4">
      <c r="A10" s="14"/>
      <c r="B10" s="6" t="s">
        <v>67</v>
      </c>
      <c r="C10" s="7" t="s">
        <v>68</v>
      </c>
      <c r="D10" s="56" t="s">
        <v>177</v>
      </c>
      <c r="E10" s="57" t="s">
        <v>177</v>
      </c>
      <c r="F10" s="58" t="s">
        <v>26</v>
      </c>
      <c r="G10" s="8">
        <f t="shared" si="2"/>
        <v>1</v>
      </c>
      <c r="H10" s="9" t="s">
        <v>5</v>
      </c>
      <c r="I10" s="10" t="s">
        <v>179</v>
      </c>
      <c r="J10" s="15"/>
      <c r="K10" s="63">
        <f t="shared" si="0"/>
        <v>1</v>
      </c>
      <c r="L10">
        <f t="shared" si="1"/>
        <v>0</v>
      </c>
      <c r="N10" s="62" t="s">
        <v>169</v>
      </c>
      <c r="O10" s="64" t="s">
        <v>170</v>
      </c>
      <c r="P10" s="66">
        <f>COUNTIFS(D8:D103, "No", E8:E103, "no") / COUNT(K8:K103)</f>
        <v>6.25E-2</v>
      </c>
      <c r="Q10" s="63"/>
      <c r="R10" s="63"/>
      <c r="S10" s="63"/>
    </row>
    <row r="11" spans="1:19" ht="51" customHeight="1" x14ac:dyDescent="0.35">
      <c r="A11" s="14"/>
      <c r="B11" s="6" t="s">
        <v>69</v>
      </c>
      <c r="C11" s="7" t="s">
        <v>70</v>
      </c>
      <c r="D11" s="56" t="s">
        <v>177</v>
      </c>
      <c r="E11" s="57" t="s">
        <v>177</v>
      </c>
      <c r="F11" s="58" t="s">
        <v>26</v>
      </c>
      <c r="G11" s="8">
        <f t="shared" si="2"/>
        <v>1</v>
      </c>
      <c r="H11" s="9" t="s">
        <v>5</v>
      </c>
      <c r="I11" s="10" t="s">
        <v>6</v>
      </c>
      <c r="J11" s="15"/>
      <c r="K11" s="63">
        <f t="shared" si="0"/>
        <v>1</v>
      </c>
      <c r="L11">
        <f t="shared" si="1"/>
        <v>0</v>
      </c>
      <c r="N11" s="67"/>
      <c r="O11" s="67"/>
      <c r="P11" s="67"/>
      <c r="Q11" s="63"/>
      <c r="R11" s="63"/>
      <c r="S11" s="63"/>
    </row>
    <row r="12" spans="1:19" ht="51" customHeight="1" x14ac:dyDescent="0.35">
      <c r="A12" s="14"/>
      <c r="B12" s="6" t="s">
        <v>71</v>
      </c>
      <c r="C12" s="7" t="s">
        <v>72</v>
      </c>
      <c r="D12" s="56" t="s">
        <v>25</v>
      </c>
      <c r="E12" s="57" t="s">
        <v>177</v>
      </c>
      <c r="F12" s="58" t="s">
        <v>26</v>
      </c>
      <c r="G12" s="8">
        <f t="shared" si="2"/>
        <v>1</v>
      </c>
      <c r="H12" s="9" t="s">
        <v>5</v>
      </c>
      <c r="I12" s="10" t="s">
        <v>180</v>
      </c>
      <c r="J12" s="15"/>
      <c r="K12" s="63">
        <f t="shared" si="0"/>
        <v>1</v>
      </c>
      <c r="L12">
        <f t="shared" si="1"/>
        <v>0</v>
      </c>
      <c r="N12" s="1" t="s">
        <v>171</v>
      </c>
      <c r="O12" s="1" t="s">
        <v>172</v>
      </c>
      <c r="P12" s="1" t="s">
        <v>173</v>
      </c>
      <c r="Q12" s="1" t="s">
        <v>174</v>
      </c>
      <c r="R12" s="1" t="s">
        <v>175</v>
      </c>
      <c r="S12" s="1" t="s">
        <v>176</v>
      </c>
    </row>
    <row r="13" spans="1:19" ht="51" customHeight="1" x14ac:dyDescent="0.35">
      <c r="A13" s="14"/>
      <c r="B13" s="6" t="s">
        <v>73</v>
      </c>
      <c r="C13" s="7" t="s">
        <v>74</v>
      </c>
      <c r="D13" s="56" t="s">
        <v>177</v>
      </c>
      <c r="E13" s="57" t="s">
        <v>177</v>
      </c>
      <c r="F13" s="58" t="s">
        <v>26</v>
      </c>
      <c r="G13" s="8">
        <f t="shared" si="2"/>
        <v>1</v>
      </c>
      <c r="H13" s="9" t="s">
        <v>5</v>
      </c>
      <c r="I13" s="10" t="s">
        <v>181</v>
      </c>
      <c r="J13" s="15"/>
      <c r="K13" s="63">
        <f t="shared" si="0"/>
        <v>1</v>
      </c>
      <c r="L13">
        <f t="shared" si="1"/>
        <v>0</v>
      </c>
      <c r="N13" s="68" t="str">
        <f>G1</f>
        <v>REDES Y TELECOM.</v>
      </c>
      <c r="O13" s="69">
        <f>G59</f>
        <v>0.88846153846153864</v>
      </c>
      <c r="P13" s="68" t="str">
        <f>IF(O13="","",IF(O13&gt;=0.8,"Óptimo",IF(O13&gt;=0.6,"Aceptable","Crítico")))</f>
        <v>Óptimo</v>
      </c>
      <c r="Q13" s="70">
        <f>P2</f>
        <v>48</v>
      </c>
      <c r="R13" s="71">
        <f>AVERAGEIF(D8:D103,"SI",G8:G103)</f>
        <v>0.96250000000000013</v>
      </c>
      <c r="S13" s="70">
        <f>COUNTIF(E8:E103,"SI")</f>
        <v>36</v>
      </c>
    </row>
    <row r="14" spans="1:19" ht="51" customHeight="1" x14ac:dyDescent="0.35">
      <c r="A14" s="14"/>
      <c r="B14" s="6" t="s">
        <v>75</v>
      </c>
      <c r="C14" s="7" t="s">
        <v>76</v>
      </c>
      <c r="D14" s="56" t="s">
        <v>25</v>
      </c>
      <c r="E14" s="57" t="s">
        <v>177</v>
      </c>
      <c r="F14" s="58" t="s">
        <v>26</v>
      </c>
      <c r="G14" s="8">
        <f t="shared" si="2"/>
        <v>1</v>
      </c>
      <c r="H14" s="9" t="s">
        <v>5</v>
      </c>
      <c r="I14" s="10" t="s">
        <v>6</v>
      </c>
      <c r="J14" s="15"/>
      <c r="K14" s="63">
        <f t="shared" ref="K14:K55" si="3">IF(H14="Detalle:",1,0)</f>
        <v>1</v>
      </c>
      <c r="L14">
        <f t="shared" ref="L14:L55" si="4">IF(E14="","",IF(AND(E14="No",F14&lt;&gt;"Inexistente"),1,0))</f>
        <v>0</v>
      </c>
    </row>
    <row r="15" spans="1:19" ht="51" customHeight="1" x14ac:dyDescent="0.35">
      <c r="A15" s="14"/>
      <c r="B15" s="6" t="s">
        <v>77</v>
      </c>
      <c r="C15" s="7" t="s">
        <v>78</v>
      </c>
      <c r="D15" s="56" t="s">
        <v>177</v>
      </c>
      <c r="E15" s="57" t="s">
        <v>177</v>
      </c>
      <c r="F15" s="58" t="s">
        <v>26</v>
      </c>
      <c r="G15" s="8">
        <f t="shared" si="2"/>
        <v>1</v>
      </c>
      <c r="H15" s="9" t="s">
        <v>5</v>
      </c>
      <c r="I15" s="10" t="s">
        <v>6</v>
      </c>
      <c r="J15" s="15"/>
      <c r="K15" s="63">
        <f t="shared" si="3"/>
        <v>1</v>
      </c>
      <c r="L15">
        <f t="shared" si="4"/>
        <v>0</v>
      </c>
    </row>
    <row r="16" spans="1:19" ht="51" customHeight="1" x14ac:dyDescent="0.35">
      <c r="A16" s="14"/>
      <c r="B16" s="6" t="s">
        <v>79</v>
      </c>
      <c r="C16" s="7" t="s">
        <v>80</v>
      </c>
      <c r="D16" s="56" t="s">
        <v>25</v>
      </c>
      <c r="E16" s="57" t="s">
        <v>25</v>
      </c>
      <c r="F16" s="58" t="s">
        <v>26</v>
      </c>
      <c r="G16" s="8">
        <f t="shared" si="2"/>
        <v>1</v>
      </c>
      <c r="H16" s="9" t="s">
        <v>5</v>
      </c>
      <c r="I16" s="10" t="s">
        <v>6</v>
      </c>
      <c r="J16" s="15"/>
      <c r="K16" s="63">
        <f t="shared" si="3"/>
        <v>1</v>
      </c>
      <c r="L16">
        <f t="shared" si="4"/>
        <v>0</v>
      </c>
    </row>
    <row r="17" spans="1:12" ht="51" customHeight="1" x14ac:dyDescent="0.35">
      <c r="A17" s="14"/>
      <c r="B17" s="6" t="s">
        <v>81</v>
      </c>
      <c r="C17" s="7" t="s">
        <v>82</v>
      </c>
      <c r="D17" s="56" t="s">
        <v>177</v>
      </c>
      <c r="E17" s="57" t="s">
        <v>177</v>
      </c>
      <c r="F17" s="58" t="s">
        <v>26</v>
      </c>
      <c r="G17" s="8">
        <f t="shared" si="2"/>
        <v>1</v>
      </c>
      <c r="H17" s="9" t="s">
        <v>5</v>
      </c>
      <c r="I17" s="10" t="s">
        <v>182</v>
      </c>
      <c r="J17" s="15"/>
      <c r="K17" s="63">
        <f t="shared" si="3"/>
        <v>1</v>
      </c>
      <c r="L17">
        <f t="shared" si="4"/>
        <v>0</v>
      </c>
    </row>
    <row r="18" spans="1:12" ht="18.75" customHeight="1" x14ac:dyDescent="0.35">
      <c r="A18" s="14"/>
      <c r="B18" s="25"/>
      <c r="C18" s="22"/>
      <c r="D18" s="21"/>
      <c r="E18" s="21"/>
      <c r="F18" s="21"/>
      <c r="G18" s="23"/>
      <c r="H18" s="24"/>
      <c r="I18" s="26"/>
      <c r="J18" s="15"/>
      <c r="K18" s="63">
        <f t="shared" si="3"/>
        <v>0</v>
      </c>
      <c r="L18" t="str">
        <f t="shared" si="4"/>
        <v/>
      </c>
    </row>
    <row r="19" spans="1:12" ht="20.25" customHeight="1" x14ac:dyDescent="0.35">
      <c r="A19" s="14"/>
      <c r="B19" s="76" t="s">
        <v>83</v>
      </c>
      <c r="C19" s="76"/>
      <c r="D19" s="76"/>
      <c r="E19" s="76"/>
      <c r="F19" s="76"/>
      <c r="G19" s="76"/>
      <c r="H19" s="76"/>
      <c r="I19" s="76"/>
      <c r="J19" s="15"/>
      <c r="K19" s="63">
        <f t="shared" si="3"/>
        <v>0</v>
      </c>
      <c r="L19" t="str">
        <f t="shared" si="4"/>
        <v/>
      </c>
    </row>
    <row r="20" spans="1:12" ht="29" x14ac:dyDescent="0.35">
      <c r="A20" s="14"/>
      <c r="B20" s="20" t="s">
        <v>0</v>
      </c>
      <c r="C20" s="20" t="s">
        <v>23</v>
      </c>
      <c r="D20" s="20" t="s">
        <v>1</v>
      </c>
      <c r="E20" s="20" t="s">
        <v>2</v>
      </c>
      <c r="F20" s="20" t="s">
        <v>3</v>
      </c>
      <c r="G20" s="20" t="s">
        <v>4</v>
      </c>
      <c r="H20" s="77" t="s">
        <v>11</v>
      </c>
      <c r="I20" s="77"/>
      <c r="J20" s="15"/>
      <c r="K20" s="63">
        <f t="shared" si="3"/>
        <v>0</v>
      </c>
      <c r="L20">
        <f t="shared" si="4"/>
        <v>0</v>
      </c>
    </row>
    <row r="21" spans="1:12" ht="51" customHeight="1" x14ac:dyDescent="0.35">
      <c r="A21" s="14"/>
      <c r="B21" s="6" t="s">
        <v>84</v>
      </c>
      <c r="C21" s="7" t="s">
        <v>85</v>
      </c>
      <c r="D21" s="56" t="s">
        <v>177</v>
      </c>
      <c r="E21" s="57" t="s">
        <v>177</v>
      </c>
      <c r="F21" s="58" t="s">
        <v>26</v>
      </c>
      <c r="G21" s="8">
        <f t="shared" ref="G21:G28" si="5">IF(D21="","",IF(D21="No",0,0.4+IF(E21="Si",0.3,0)+IF(F21="Actualizado",0.3,IF(F21="Desactualizado",0.15,0))))</f>
        <v>1</v>
      </c>
      <c r="H21" s="9" t="s">
        <v>5</v>
      </c>
      <c r="I21" s="10" t="s">
        <v>183</v>
      </c>
      <c r="J21" s="15"/>
      <c r="K21" s="63">
        <f t="shared" si="3"/>
        <v>1</v>
      </c>
      <c r="L21">
        <f t="shared" si="4"/>
        <v>0</v>
      </c>
    </row>
    <row r="22" spans="1:12" ht="51" customHeight="1" x14ac:dyDescent="0.35">
      <c r="A22" s="14"/>
      <c r="B22" s="6" t="s">
        <v>86</v>
      </c>
      <c r="C22" s="7" t="s">
        <v>87</v>
      </c>
      <c r="D22" s="56" t="s">
        <v>177</v>
      </c>
      <c r="E22" s="57" t="s">
        <v>25</v>
      </c>
      <c r="F22" s="58" t="s">
        <v>26</v>
      </c>
      <c r="G22" s="8">
        <f t="shared" si="5"/>
        <v>1</v>
      </c>
      <c r="H22" s="9" t="s">
        <v>5</v>
      </c>
      <c r="I22" s="10" t="s">
        <v>184</v>
      </c>
      <c r="J22" s="15"/>
      <c r="K22" s="63">
        <f t="shared" si="3"/>
        <v>1</v>
      </c>
      <c r="L22">
        <f t="shared" si="4"/>
        <v>0</v>
      </c>
    </row>
    <row r="23" spans="1:12" ht="51" customHeight="1" x14ac:dyDescent="0.35">
      <c r="A23" s="14"/>
      <c r="B23" s="6" t="s">
        <v>88</v>
      </c>
      <c r="C23" s="7" t="s">
        <v>89</v>
      </c>
      <c r="D23" s="56" t="s">
        <v>185</v>
      </c>
      <c r="E23" s="57" t="s">
        <v>177</v>
      </c>
      <c r="F23" s="58" t="s">
        <v>26</v>
      </c>
      <c r="G23" s="8">
        <f t="shared" si="5"/>
        <v>1</v>
      </c>
      <c r="H23" s="9" t="s">
        <v>5</v>
      </c>
      <c r="I23" s="10" t="s">
        <v>6</v>
      </c>
      <c r="J23" s="15"/>
      <c r="K23" s="63">
        <f t="shared" si="3"/>
        <v>1</v>
      </c>
      <c r="L23">
        <f t="shared" si="4"/>
        <v>0</v>
      </c>
    </row>
    <row r="24" spans="1:12" ht="51" customHeight="1" x14ac:dyDescent="0.35">
      <c r="A24" s="14"/>
      <c r="B24" s="6" t="s">
        <v>90</v>
      </c>
      <c r="C24" s="7" t="s">
        <v>91</v>
      </c>
      <c r="D24" s="56" t="s">
        <v>25</v>
      </c>
      <c r="E24" s="57" t="s">
        <v>177</v>
      </c>
      <c r="F24" s="58" t="s">
        <v>26</v>
      </c>
      <c r="G24" s="8">
        <f t="shared" si="5"/>
        <v>1</v>
      </c>
      <c r="H24" s="9" t="s">
        <v>5</v>
      </c>
      <c r="I24" s="10" t="s">
        <v>6</v>
      </c>
      <c r="J24" s="15"/>
      <c r="K24" s="63">
        <f t="shared" si="3"/>
        <v>1</v>
      </c>
      <c r="L24">
        <f t="shared" si="4"/>
        <v>0</v>
      </c>
    </row>
    <row r="25" spans="1:12" ht="51" customHeight="1" x14ac:dyDescent="0.35">
      <c r="A25" s="14"/>
      <c r="B25" s="6" t="s">
        <v>92</v>
      </c>
      <c r="C25" s="7" t="s">
        <v>93</v>
      </c>
      <c r="D25" s="56" t="s">
        <v>25</v>
      </c>
      <c r="E25" s="57" t="s">
        <v>177</v>
      </c>
      <c r="F25" s="58" t="s">
        <v>26</v>
      </c>
      <c r="G25" s="8">
        <f t="shared" si="5"/>
        <v>1</v>
      </c>
      <c r="H25" s="9" t="s">
        <v>5</v>
      </c>
      <c r="I25" s="10" t="s">
        <v>186</v>
      </c>
      <c r="J25" s="15"/>
      <c r="K25" s="63">
        <f t="shared" si="3"/>
        <v>1</v>
      </c>
      <c r="L25">
        <f t="shared" si="4"/>
        <v>0</v>
      </c>
    </row>
    <row r="26" spans="1:12" ht="51" customHeight="1" x14ac:dyDescent="0.35">
      <c r="A26" s="14"/>
      <c r="B26" s="6" t="s">
        <v>94</v>
      </c>
      <c r="C26" s="7" t="s">
        <v>95</v>
      </c>
      <c r="D26" s="56" t="s">
        <v>185</v>
      </c>
      <c r="E26" s="57" t="s">
        <v>177</v>
      </c>
      <c r="F26" s="58" t="s">
        <v>26</v>
      </c>
      <c r="G26" s="8">
        <f t="shared" si="5"/>
        <v>1</v>
      </c>
      <c r="H26" s="9" t="s">
        <v>5</v>
      </c>
      <c r="I26" s="10" t="s">
        <v>6</v>
      </c>
      <c r="J26" s="15"/>
      <c r="K26" s="63">
        <f t="shared" si="3"/>
        <v>1</v>
      </c>
      <c r="L26">
        <f t="shared" si="4"/>
        <v>0</v>
      </c>
    </row>
    <row r="27" spans="1:12" ht="51" customHeight="1" x14ac:dyDescent="0.35">
      <c r="A27" s="14"/>
      <c r="B27" s="6" t="s">
        <v>96</v>
      </c>
      <c r="C27" s="7" t="s">
        <v>97</v>
      </c>
      <c r="D27" s="56" t="s">
        <v>25</v>
      </c>
      <c r="E27" s="57" t="s">
        <v>177</v>
      </c>
      <c r="F27" s="58" t="s">
        <v>26</v>
      </c>
      <c r="G27" s="8">
        <f t="shared" si="5"/>
        <v>1</v>
      </c>
      <c r="H27" s="9" t="s">
        <v>5</v>
      </c>
      <c r="I27" s="10" t="s">
        <v>6</v>
      </c>
      <c r="J27" s="15"/>
      <c r="K27" s="63">
        <f t="shared" si="3"/>
        <v>1</v>
      </c>
      <c r="L27">
        <f t="shared" si="4"/>
        <v>0</v>
      </c>
    </row>
    <row r="28" spans="1:12" ht="51" customHeight="1" x14ac:dyDescent="0.35">
      <c r="A28" s="14"/>
      <c r="B28" s="6" t="s">
        <v>98</v>
      </c>
      <c r="C28" s="7" t="s">
        <v>99</v>
      </c>
      <c r="D28" s="56" t="s">
        <v>177</v>
      </c>
      <c r="E28" s="57" t="s">
        <v>177</v>
      </c>
      <c r="F28" s="58" t="s">
        <v>26</v>
      </c>
      <c r="G28" s="8">
        <f t="shared" si="5"/>
        <v>1</v>
      </c>
      <c r="H28" s="9" t="s">
        <v>5</v>
      </c>
      <c r="I28" s="10" t="s">
        <v>187</v>
      </c>
      <c r="J28" s="15"/>
      <c r="K28" s="63">
        <f t="shared" si="3"/>
        <v>1</v>
      </c>
      <c r="L28">
        <f t="shared" si="4"/>
        <v>0</v>
      </c>
    </row>
    <row r="29" spans="1:12" ht="18.75" customHeight="1" x14ac:dyDescent="0.35">
      <c r="A29" s="14"/>
      <c r="B29" s="25"/>
      <c r="C29" s="22"/>
      <c r="D29" s="21"/>
      <c r="E29" s="21"/>
      <c r="F29" s="21"/>
      <c r="G29" s="23"/>
      <c r="H29" s="24"/>
      <c r="I29" s="26"/>
      <c r="J29" s="15"/>
      <c r="K29" s="63">
        <f t="shared" si="3"/>
        <v>0</v>
      </c>
      <c r="L29" t="str">
        <f t="shared" si="4"/>
        <v/>
      </c>
    </row>
    <row r="30" spans="1:12" ht="22.5" customHeight="1" x14ac:dyDescent="0.35">
      <c r="A30" s="14"/>
      <c r="B30" s="76" t="s">
        <v>100</v>
      </c>
      <c r="C30" s="76"/>
      <c r="D30" s="76"/>
      <c r="E30" s="76"/>
      <c r="F30" s="76"/>
      <c r="G30" s="76"/>
      <c r="H30" s="76"/>
      <c r="I30" s="76"/>
      <c r="J30" s="15"/>
      <c r="K30" s="63">
        <f t="shared" si="3"/>
        <v>0</v>
      </c>
      <c r="L30" t="str">
        <f t="shared" si="4"/>
        <v/>
      </c>
    </row>
    <row r="31" spans="1:12" ht="29" x14ac:dyDescent="0.35">
      <c r="A31" s="14"/>
      <c r="B31" s="20" t="s">
        <v>0</v>
      </c>
      <c r="C31" s="20" t="s">
        <v>23</v>
      </c>
      <c r="D31" s="20" t="s">
        <v>1</v>
      </c>
      <c r="E31" s="20" t="s">
        <v>2</v>
      </c>
      <c r="F31" s="20" t="s">
        <v>3</v>
      </c>
      <c r="G31" s="20" t="s">
        <v>4</v>
      </c>
      <c r="H31" s="77" t="s">
        <v>11</v>
      </c>
      <c r="I31" s="77"/>
      <c r="J31" s="15"/>
      <c r="K31" s="63">
        <f t="shared" si="3"/>
        <v>0</v>
      </c>
      <c r="L31">
        <f t="shared" si="4"/>
        <v>0</v>
      </c>
    </row>
    <row r="32" spans="1:12" ht="51" customHeight="1" x14ac:dyDescent="0.35">
      <c r="A32" s="14"/>
      <c r="B32" s="6" t="s">
        <v>101</v>
      </c>
      <c r="C32" s="7" t="s">
        <v>102</v>
      </c>
      <c r="D32" s="56" t="s">
        <v>25</v>
      </c>
      <c r="E32" s="57" t="s">
        <v>25</v>
      </c>
      <c r="F32" s="58" t="s">
        <v>26</v>
      </c>
      <c r="G32" s="8">
        <f t="shared" ref="G32:G41" si="6">IF(D32="","",IF(D32="No",0,0.4+IF(E32="Si",0.3,0)+IF(F32="Actualizado",0.3,IF(F32="Desactualizado",0.15,0))))</f>
        <v>1</v>
      </c>
      <c r="H32" s="9" t="s">
        <v>5</v>
      </c>
      <c r="I32" s="10" t="s">
        <v>6</v>
      </c>
      <c r="J32" s="15"/>
      <c r="K32" s="63">
        <f t="shared" si="3"/>
        <v>1</v>
      </c>
      <c r="L32">
        <f t="shared" si="4"/>
        <v>0</v>
      </c>
    </row>
    <row r="33" spans="1:12" ht="51" customHeight="1" x14ac:dyDescent="0.35">
      <c r="A33" s="14"/>
      <c r="B33" s="6" t="s">
        <v>103</v>
      </c>
      <c r="C33" s="7" t="s">
        <v>104</v>
      </c>
      <c r="D33" s="56" t="s">
        <v>25</v>
      </c>
      <c r="E33" s="57" t="s">
        <v>25</v>
      </c>
      <c r="F33" s="58" t="s">
        <v>27</v>
      </c>
      <c r="G33" s="8">
        <f t="shared" si="6"/>
        <v>0.85</v>
      </c>
      <c r="H33" s="9" t="s">
        <v>5</v>
      </c>
      <c r="I33" s="10" t="s">
        <v>188</v>
      </c>
      <c r="J33" s="15"/>
      <c r="K33" s="63">
        <f t="shared" si="3"/>
        <v>1</v>
      </c>
      <c r="L33">
        <f t="shared" si="4"/>
        <v>0</v>
      </c>
    </row>
    <row r="34" spans="1:12" ht="51" customHeight="1" x14ac:dyDescent="0.35">
      <c r="A34" s="14"/>
      <c r="B34" s="6" t="s">
        <v>105</v>
      </c>
      <c r="C34" s="7" t="s">
        <v>106</v>
      </c>
      <c r="D34" s="56" t="s">
        <v>25</v>
      </c>
      <c r="E34" s="57" t="s">
        <v>25</v>
      </c>
      <c r="F34" s="58" t="s">
        <v>27</v>
      </c>
      <c r="G34" s="8">
        <f t="shared" si="6"/>
        <v>0.85</v>
      </c>
      <c r="H34" s="9" t="s">
        <v>5</v>
      </c>
      <c r="I34" s="10" t="s">
        <v>6</v>
      </c>
      <c r="J34" s="15"/>
      <c r="K34" s="63">
        <f t="shared" si="3"/>
        <v>1</v>
      </c>
      <c r="L34">
        <f t="shared" si="4"/>
        <v>0</v>
      </c>
    </row>
    <row r="35" spans="1:12" ht="51" customHeight="1" x14ac:dyDescent="0.35">
      <c r="A35" s="14"/>
      <c r="B35" s="6" t="s">
        <v>107</v>
      </c>
      <c r="C35" s="7" t="s">
        <v>108</v>
      </c>
      <c r="D35" s="56" t="s">
        <v>9</v>
      </c>
      <c r="E35" s="57" t="s">
        <v>189</v>
      </c>
      <c r="F35" s="58" t="s">
        <v>28</v>
      </c>
      <c r="G35" s="8">
        <f t="shared" si="6"/>
        <v>0</v>
      </c>
      <c r="H35" s="9" t="s">
        <v>5</v>
      </c>
      <c r="I35" s="10" t="s">
        <v>190</v>
      </c>
      <c r="J35" s="15"/>
      <c r="K35" s="63">
        <f t="shared" si="3"/>
        <v>1</v>
      </c>
      <c r="L35">
        <f t="shared" si="4"/>
        <v>0</v>
      </c>
    </row>
    <row r="36" spans="1:12" ht="51" customHeight="1" x14ac:dyDescent="0.35">
      <c r="A36" s="14"/>
      <c r="B36" s="6" t="s">
        <v>109</v>
      </c>
      <c r="C36" s="7" t="s">
        <v>110</v>
      </c>
      <c r="D36" s="56" t="s">
        <v>25</v>
      </c>
      <c r="E36" s="57" t="s">
        <v>25</v>
      </c>
      <c r="F36" s="58" t="s">
        <v>27</v>
      </c>
      <c r="G36" s="8">
        <f t="shared" si="6"/>
        <v>0.85</v>
      </c>
      <c r="H36" s="9" t="s">
        <v>5</v>
      </c>
      <c r="I36" s="10" t="s">
        <v>6</v>
      </c>
      <c r="J36" s="15"/>
      <c r="K36" s="63">
        <f t="shared" si="3"/>
        <v>1</v>
      </c>
      <c r="L36">
        <f t="shared" si="4"/>
        <v>0</v>
      </c>
    </row>
    <row r="37" spans="1:12" ht="51" customHeight="1" x14ac:dyDescent="0.35">
      <c r="A37" s="14"/>
      <c r="B37" s="6" t="s">
        <v>111</v>
      </c>
      <c r="C37" s="7" t="s">
        <v>112</v>
      </c>
      <c r="D37" s="56" t="s">
        <v>25</v>
      </c>
      <c r="E37" s="57" t="s">
        <v>25</v>
      </c>
      <c r="F37" s="58" t="s">
        <v>27</v>
      </c>
      <c r="G37" s="8">
        <f t="shared" si="6"/>
        <v>0.85</v>
      </c>
      <c r="H37" s="9" t="s">
        <v>5</v>
      </c>
      <c r="I37" s="10" t="s">
        <v>6</v>
      </c>
      <c r="J37" s="15"/>
      <c r="K37" s="63">
        <f t="shared" si="3"/>
        <v>1</v>
      </c>
      <c r="L37">
        <f t="shared" si="4"/>
        <v>0</v>
      </c>
    </row>
    <row r="38" spans="1:12" ht="51" customHeight="1" x14ac:dyDescent="0.35">
      <c r="A38" s="14"/>
      <c r="B38" s="6" t="s">
        <v>113</v>
      </c>
      <c r="C38" s="7" t="s">
        <v>114</v>
      </c>
      <c r="D38" s="56" t="s">
        <v>25</v>
      </c>
      <c r="E38" s="57" t="s">
        <v>25</v>
      </c>
      <c r="F38" s="58" t="s">
        <v>27</v>
      </c>
      <c r="G38" s="8">
        <f t="shared" si="6"/>
        <v>0.85</v>
      </c>
      <c r="H38" s="9" t="s">
        <v>5</v>
      </c>
      <c r="I38" s="10" t="s">
        <v>6</v>
      </c>
      <c r="J38" s="15"/>
      <c r="K38" s="63">
        <f t="shared" si="3"/>
        <v>1</v>
      </c>
      <c r="L38">
        <f t="shared" si="4"/>
        <v>0</v>
      </c>
    </row>
    <row r="39" spans="1:12" ht="51" customHeight="1" x14ac:dyDescent="0.35">
      <c r="A39" s="14"/>
      <c r="B39" s="6" t="s">
        <v>115</v>
      </c>
      <c r="C39" s="7" t="s">
        <v>116</v>
      </c>
      <c r="D39" s="56" t="s">
        <v>25</v>
      </c>
      <c r="E39" s="57" t="s">
        <v>25</v>
      </c>
      <c r="F39" s="58" t="s">
        <v>27</v>
      </c>
      <c r="G39" s="8">
        <f t="shared" si="6"/>
        <v>0.85</v>
      </c>
      <c r="H39" s="9" t="s">
        <v>5</v>
      </c>
      <c r="I39" s="10" t="s">
        <v>6</v>
      </c>
      <c r="J39" s="15"/>
      <c r="K39" s="63">
        <f t="shared" si="3"/>
        <v>1</v>
      </c>
      <c r="L39">
        <f t="shared" si="4"/>
        <v>0</v>
      </c>
    </row>
    <row r="40" spans="1:12" ht="51" customHeight="1" x14ac:dyDescent="0.35">
      <c r="A40" s="14"/>
      <c r="B40" s="6" t="s">
        <v>117</v>
      </c>
      <c r="C40" s="7" t="s">
        <v>118</v>
      </c>
      <c r="D40" s="56" t="s">
        <v>25</v>
      </c>
      <c r="E40" s="57" t="s">
        <v>25</v>
      </c>
      <c r="F40" s="58" t="s">
        <v>27</v>
      </c>
      <c r="G40" s="8">
        <f t="shared" si="6"/>
        <v>0.85</v>
      </c>
      <c r="H40" s="9" t="s">
        <v>5</v>
      </c>
      <c r="I40" s="10" t="s">
        <v>6</v>
      </c>
      <c r="J40" s="15"/>
      <c r="K40" s="63">
        <f t="shared" si="3"/>
        <v>1</v>
      </c>
      <c r="L40">
        <f t="shared" si="4"/>
        <v>0</v>
      </c>
    </row>
    <row r="41" spans="1:12" ht="51" customHeight="1" x14ac:dyDescent="0.35">
      <c r="A41" s="14"/>
      <c r="B41" s="6" t="s">
        <v>119</v>
      </c>
      <c r="C41" s="7" t="s">
        <v>120</v>
      </c>
      <c r="D41" s="56" t="s">
        <v>25</v>
      </c>
      <c r="E41" s="57" t="s">
        <v>25</v>
      </c>
      <c r="F41" s="58" t="s">
        <v>26</v>
      </c>
      <c r="G41" s="8">
        <f t="shared" si="6"/>
        <v>1</v>
      </c>
      <c r="H41" s="9" t="s">
        <v>5</v>
      </c>
      <c r="I41" s="10" t="s">
        <v>6</v>
      </c>
      <c r="J41" s="15"/>
      <c r="K41" s="63">
        <f t="shared" si="3"/>
        <v>1</v>
      </c>
      <c r="L41">
        <f t="shared" si="4"/>
        <v>0</v>
      </c>
    </row>
    <row r="42" spans="1:12" ht="18.75" customHeight="1" x14ac:dyDescent="0.35">
      <c r="A42" s="14"/>
      <c r="B42" s="25"/>
      <c r="C42" s="22"/>
      <c r="D42" s="21"/>
      <c r="E42" s="21"/>
      <c r="F42" s="21"/>
      <c r="G42" s="23"/>
      <c r="H42" s="24"/>
      <c r="I42" s="26"/>
      <c r="J42" s="15"/>
      <c r="K42" s="63">
        <f t="shared" si="3"/>
        <v>0</v>
      </c>
      <c r="L42" t="str">
        <f t="shared" si="4"/>
        <v/>
      </c>
    </row>
    <row r="43" spans="1:12" ht="19.5" customHeight="1" x14ac:dyDescent="0.35">
      <c r="A43" s="14"/>
      <c r="B43" s="76" t="s">
        <v>121</v>
      </c>
      <c r="C43" s="76"/>
      <c r="D43" s="76"/>
      <c r="E43" s="76"/>
      <c r="F43" s="76"/>
      <c r="G43" s="76"/>
      <c r="H43" s="76"/>
      <c r="I43" s="76"/>
      <c r="J43" s="15"/>
      <c r="K43" s="63">
        <f t="shared" si="3"/>
        <v>0</v>
      </c>
      <c r="L43" t="str">
        <f t="shared" si="4"/>
        <v/>
      </c>
    </row>
    <row r="44" spans="1:12" ht="29" x14ac:dyDescent="0.35">
      <c r="A44" s="14"/>
      <c r="B44" s="20" t="s">
        <v>0</v>
      </c>
      <c r="C44" s="20" t="s">
        <v>23</v>
      </c>
      <c r="D44" s="20" t="s">
        <v>1</v>
      </c>
      <c r="E44" s="20" t="s">
        <v>2</v>
      </c>
      <c r="F44" s="20" t="s">
        <v>3</v>
      </c>
      <c r="G44" s="20" t="s">
        <v>4</v>
      </c>
      <c r="H44" s="77" t="s">
        <v>11</v>
      </c>
      <c r="I44" s="77"/>
      <c r="J44" s="15"/>
      <c r="K44" s="63">
        <f t="shared" si="3"/>
        <v>0</v>
      </c>
      <c r="L44">
        <f t="shared" si="4"/>
        <v>0</v>
      </c>
    </row>
    <row r="45" spans="1:12" ht="51" customHeight="1" x14ac:dyDescent="0.35">
      <c r="A45" s="14"/>
      <c r="B45" s="6" t="s">
        <v>122</v>
      </c>
      <c r="C45" s="7" t="s">
        <v>123</v>
      </c>
      <c r="D45" s="53" t="s">
        <v>25</v>
      </c>
      <c r="E45" s="54" t="s">
        <v>177</v>
      </c>
      <c r="F45" s="55" t="s">
        <v>26</v>
      </c>
      <c r="G45" s="8">
        <f t="shared" ref="G45:G55" si="7">IF(D45="","",IF(D45="No",0,0.4+IF(E45="Si",0.3,0)+IF(F45="Actualizado",0.3,IF(F45="Desactualizado",0.15,0))))</f>
        <v>1</v>
      </c>
      <c r="H45" s="9" t="s">
        <v>5</v>
      </c>
      <c r="I45" s="10" t="s">
        <v>6</v>
      </c>
      <c r="J45" s="15"/>
      <c r="K45" s="63">
        <f t="shared" si="3"/>
        <v>1</v>
      </c>
      <c r="L45">
        <f t="shared" si="4"/>
        <v>0</v>
      </c>
    </row>
    <row r="46" spans="1:12" ht="51" customHeight="1" x14ac:dyDescent="0.35">
      <c r="A46" s="14"/>
      <c r="B46" s="6" t="s">
        <v>124</v>
      </c>
      <c r="C46" s="7" t="s">
        <v>125</v>
      </c>
      <c r="D46" s="56" t="s">
        <v>25</v>
      </c>
      <c r="E46" s="57" t="s">
        <v>177</v>
      </c>
      <c r="F46" s="58" t="s">
        <v>26</v>
      </c>
      <c r="G46" s="8">
        <f t="shared" si="7"/>
        <v>1</v>
      </c>
      <c r="H46" s="9" t="s">
        <v>5</v>
      </c>
      <c r="I46" s="10" t="s">
        <v>6</v>
      </c>
      <c r="J46" s="15"/>
      <c r="K46" s="63">
        <f t="shared" si="3"/>
        <v>1</v>
      </c>
      <c r="L46">
        <f t="shared" si="4"/>
        <v>0</v>
      </c>
    </row>
    <row r="47" spans="1:12" ht="51" customHeight="1" x14ac:dyDescent="0.35">
      <c r="A47" s="14"/>
      <c r="B47" s="6" t="s">
        <v>126</v>
      </c>
      <c r="C47" s="7" t="s">
        <v>127</v>
      </c>
      <c r="D47" s="56" t="s">
        <v>9</v>
      </c>
      <c r="E47" s="57" t="s">
        <v>189</v>
      </c>
      <c r="F47" s="58" t="s">
        <v>28</v>
      </c>
      <c r="G47" s="8">
        <f t="shared" si="7"/>
        <v>0</v>
      </c>
      <c r="H47" s="9" t="s">
        <v>5</v>
      </c>
      <c r="I47" s="10" t="s">
        <v>191</v>
      </c>
      <c r="J47" s="15"/>
      <c r="K47" s="63">
        <f t="shared" si="3"/>
        <v>1</v>
      </c>
      <c r="L47">
        <f t="shared" si="4"/>
        <v>0</v>
      </c>
    </row>
    <row r="48" spans="1:12" ht="51" customHeight="1" x14ac:dyDescent="0.35">
      <c r="A48" s="14"/>
      <c r="B48" s="6" t="s">
        <v>128</v>
      </c>
      <c r="C48" s="7" t="s">
        <v>129</v>
      </c>
      <c r="D48" s="56" t="s">
        <v>185</v>
      </c>
      <c r="E48" s="57" t="s">
        <v>177</v>
      </c>
      <c r="F48" s="58" t="s">
        <v>26</v>
      </c>
      <c r="G48" s="8">
        <f t="shared" si="7"/>
        <v>1</v>
      </c>
      <c r="H48" s="9" t="s">
        <v>5</v>
      </c>
      <c r="I48" s="10" t="s">
        <v>6</v>
      </c>
      <c r="J48" s="15"/>
      <c r="K48" s="63">
        <f t="shared" si="3"/>
        <v>1</v>
      </c>
      <c r="L48">
        <f t="shared" si="4"/>
        <v>0</v>
      </c>
    </row>
    <row r="49" spans="1:12" ht="51" customHeight="1" x14ac:dyDescent="0.35">
      <c r="A49" s="14"/>
      <c r="B49" s="6" t="s">
        <v>130</v>
      </c>
      <c r="C49" s="7" t="s">
        <v>131</v>
      </c>
      <c r="D49" s="56" t="s">
        <v>25</v>
      </c>
      <c r="E49" s="57" t="s">
        <v>177</v>
      </c>
      <c r="F49" s="58" t="s">
        <v>26</v>
      </c>
      <c r="G49" s="8">
        <f t="shared" si="7"/>
        <v>1</v>
      </c>
      <c r="H49" s="9" t="s">
        <v>5</v>
      </c>
      <c r="I49" s="10" t="s">
        <v>6</v>
      </c>
      <c r="J49" s="15"/>
      <c r="K49" s="63">
        <f t="shared" si="3"/>
        <v>1</v>
      </c>
      <c r="L49">
        <f t="shared" si="4"/>
        <v>0</v>
      </c>
    </row>
    <row r="50" spans="1:12" ht="51" customHeight="1" x14ac:dyDescent="0.35">
      <c r="A50" s="14"/>
      <c r="B50" s="6" t="s">
        <v>132</v>
      </c>
      <c r="C50" s="7" t="s">
        <v>133</v>
      </c>
      <c r="D50" s="56" t="s">
        <v>25</v>
      </c>
      <c r="E50" s="57" t="s">
        <v>177</v>
      </c>
      <c r="F50" s="58" t="s">
        <v>26</v>
      </c>
      <c r="G50" s="8">
        <f t="shared" si="7"/>
        <v>1</v>
      </c>
      <c r="H50" s="9" t="s">
        <v>5</v>
      </c>
      <c r="I50" s="10" t="s">
        <v>6</v>
      </c>
      <c r="J50" s="15"/>
      <c r="K50" s="63">
        <f t="shared" si="3"/>
        <v>1</v>
      </c>
      <c r="L50">
        <f t="shared" si="4"/>
        <v>0</v>
      </c>
    </row>
    <row r="51" spans="1:12" ht="51" customHeight="1" x14ac:dyDescent="0.35">
      <c r="A51" s="14"/>
      <c r="B51" s="6" t="s">
        <v>134</v>
      </c>
      <c r="C51" s="7" t="s">
        <v>53</v>
      </c>
      <c r="D51" s="56" t="s">
        <v>25</v>
      </c>
      <c r="E51" s="57" t="s">
        <v>177</v>
      </c>
      <c r="F51" s="58" t="s">
        <v>26</v>
      </c>
      <c r="G51" s="8">
        <f t="shared" si="7"/>
        <v>1</v>
      </c>
      <c r="H51" s="9" t="s">
        <v>5</v>
      </c>
      <c r="I51" s="10" t="s">
        <v>6</v>
      </c>
      <c r="J51" s="15"/>
      <c r="K51" s="63">
        <f t="shared" si="3"/>
        <v>1</v>
      </c>
      <c r="L51">
        <f t="shared" si="4"/>
        <v>0</v>
      </c>
    </row>
    <row r="52" spans="1:12" ht="51" customHeight="1" x14ac:dyDescent="0.35">
      <c r="A52" s="14"/>
      <c r="B52" s="6" t="s">
        <v>135</v>
      </c>
      <c r="C52" s="7" t="s">
        <v>136</v>
      </c>
      <c r="D52" s="56" t="s">
        <v>25</v>
      </c>
      <c r="E52" s="57" t="s">
        <v>177</v>
      </c>
      <c r="F52" s="58" t="s">
        <v>26</v>
      </c>
      <c r="G52" s="8">
        <f t="shared" si="7"/>
        <v>1</v>
      </c>
      <c r="H52" s="9" t="s">
        <v>5</v>
      </c>
      <c r="I52" s="10" t="s">
        <v>6</v>
      </c>
      <c r="J52" s="15"/>
      <c r="K52" s="63">
        <f t="shared" si="3"/>
        <v>1</v>
      </c>
      <c r="L52">
        <f t="shared" si="4"/>
        <v>0</v>
      </c>
    </row>
    <row r="53" spans="1:12" ht="51" customHeight="1" x14ac:dyDescent="0.35">
      <c r="A53" s="14"/>
      <c r="B53" s="6" t="s">
        <v>137</v>
      </c>
      <c r="C53" s="7" t="s">
        <v>138</v>
      </c>
      <c r="D53" s="56" t="s">
        <v>25</v>
      </c>
      <c r="E53" s="57" t="s">
        <v>177</v>
      </c>
      <c r="F53" s="58" t="s">
        <v>26</v>
      </c>
      <c r="G53" s="8">
        <f t="shared" si="7"/>
        <v>1</v>
      </c>
      <c r="H53" s="9" t="s">
        <v>5</v>
      </c>
      <c r="I53" s="10" t="s">
        <v>6</v>
      </c>
      <c r="J53" s="15"/>
      <c r="K53" s="63">
        <f t="shared" si="3"/>
        <v>1</v>
      </c>
      <c r="L53">
        <f t="shared" si="4"/>
        <v>0</v>
      </c>
    </row>
    <row r="54" spans="1:12" ht="51" customHeight="1" x14ac:dyDescent="0.35">
      <c r="A54" s="14"/>
      <c r="B54" s="6" t="s">
        <v>139</v>
      </c>
      <c r="C54" s="7" t="s">
        <v>140</v>
      </c>
      <c r="D54" s="56" t="s">
        <v>25</v>
      </c>
      <c r="E54" s="57" t="s">
        <v>177</v>
      </c>
      <c r="F54" s="58" t="s">
        <v>26</v>
      </c>
      <c r="G54" s="8">
        <f t="shared" si="7"/>
        <v>1</v>
      </c>
      <c r="H54" s="9" t="s">
        <v>5</v>
      </c>
      <c r="I54" s="10" t="s">
        <v>6</v>
      </c>
      <c r="J54" s="15"/>
      <c r="K54" s="63">
        <f t="shared" si="3"/>
        <v>1</v>
      </c>
      <c r="L54">
        <f t="shared" si="4"/>
        <v>0</v>
      </c>
    </row>
    <row r="55" spans="1:12" ht="51" customHeight="1" x14ac:dyDescent="0.35">
      <c r="A55" s="14"/>
      <c r="B55" s="6" t="s">
        <v>141</v>
      </c>
      <c r="C55" s="7" t="s">
        <v>142</v>
      </c>
      <c r="D55" s="59" t="s">
        <v>9</v>
      </c>
      <c r="E55" s="60" t="s">
        <v>189</v>
      </c>
      <c r="F55" s="61" t="s">
        <v>28</v>
      </c>
      <c r="G55" s="8">
        <f t="shared" si="7"/>
        <v>0</v>
      </c>
      <c r="H55" s="9" t="s">
        <v>5</v>
      </c>
      <c r="I55" s="10" t="s">
        <v>6</v>
      </c>
      <c r="J55" s="15"/>
      <c r="K55" s="63">
        <f t="shared" si="3"/>
        <v>1</v>
      </c>
      <c r="L55">
        <f t="shared" si="4"/>
        <v>0</v>
      </c>
    </row>
    <row r="56" spans="1:12" ht="15" thickBot="1" x14ac:dyDescent="0.4">
      <c r="A56" s="16"/>
      <c r="B56" s="18"/>
      <c r="C56" s="18"/>
      <c r="D56" s="18"/>
      <c r="E56" s="18"/>
      <c r="F56" s="18"/>
      <c r="G56" s="18"/>
      <c r="H56" s="18"/>
      <c r="I56" s="18"/>
      <c r="J56" s="17"/>
      <c r="L56" t="str">
        <f>IF(F56="","",IF(AND(E56="No",F56&lt;&gt;"Inexistente"),1,0))</f>
        <v/>
      </c>
    </row>
    <row r="57" spans="1:12" x14ac:dyDescent="0.35">
      <c r="A57" s="27"/>
      <c r="B57" s="28"/>
      <c r="C57" s="29"/>
      <c r="D57" s="28"/>
      <c r="E57" s="28"/>
      <c r="F57" s="28"/>
      <c r="G57" s="28"/>
      <c r="H57" s="28"/>
      <c r="I57" s="28"/>
      <c r="J57" s="30"/>
    </row>
    <row r="58" spans="1:12" x14ac:dyDescent="0.35">
      <c r="A58" s="31"/>
      <c r="B58" s="32"/>
      <c r="C58" s="33"/>
      <c r="D58" s="32"/>
      <c r="E58" s="32"/>
      <c r="F58" s="32"/>
      <c r="G58" s="32"/>
      <c r="H58" s="32"/>
      <c r="I58" s="32"/>
      <c r="J58" s="34"/>
    </row>
    <row r="59" spans="1:12" ht="19" thickBot="1" x14ac:dyDescent="0.4">
      <c r="A59" s="31"/>
      <c r="B59" s="78" t="s">
        <v>51</v>
      </c>
      <c r="C59" s="73"/>
      <c r="D59" s="73"/>
      <c r="E59" s="73"/>
      <c r="F59" s="73"/>
      <c r="G59" s="35">
        <f>IFERROR(AVERAGE(G8:G55),"")</f>
        <v>0.88846153846153864</v>
      </c>
      <c r="H59" s="32"/>
      <c r="I59" s="32"/>
      <c r="J59" s="34"/>
    </row>
    <row r="60" spans="1:12" ht="15" thickTop="1" x14ac:dyDescent="0.35">
      <c r="A60" s="31"/>
      <c r="B60" s="72" t="s">
        <v>52</v>
      </c>
      <c r="C60" s="73"/>
      <c r="D60" s="74" t="str">
        <f>COUNTIF(D8:D55,"si")&amp;"  Conformes / "&amp;COUNTIF(D8:D55,"no")&amp;"  No Conformes"</f>
        <v>36  Conformes / 3  No Conformes</v>
      </c>
      <c r="E60" s="75"/>
      <c r="F60" s="75"/>
      <c r="G60" s="32"/>
      <c r="H60" s="32"/>
      <c r="I60" s="32"/>
      <c r="J60" s="34"/>
    </row>
    <row r="61" spans="1:12" x14ac:dyDescent="0.35">
      <c r="A61" s="36"/>
      <c r="B61" s="72" t="s">
        <v>143</v>
      </c>
      <c r="C61" s="73"/>
      <c r="D61" s="74" t="str">
        <f>COUNTIF(E8:E55,"si")&amp;"  Elaborados / "&amp;COUNTIF(E8:E55,"no")&amp;"  No Elaborados"</f>
        <v>36  Elaborados / 3  No Elaborados</v>
      </c>
      <c r="E61" s="75"/>
      <c r="F61" s="75"/>
      <c r="G61" s="32"/>
      <c r="H61" s="32"/>
      <c r="I61" s="32"/>
      <c r="J61" s="34"/>
    </row>
    <row r="62" spans="1:12" ht="41.25" customHeight="1" x14ac:dyDescent="0.35">
      <c r="A62" s="37"/>
      <c r="B62" s="38"/>
      <c r="C62" s="39"/>
      <c r="D62" s="40"/>
      <c r="E62" s="40"/>
      <c r="F62" s="40"/>
      <c r="G62" s="40"/>
      <c r="H62" s="40"/>
      <c r="I62" s="40"/>
      <c r="J62" s="41"/>
    </row>
    <row r="63" spans="1:12" ht="43.5" customHeight="1" x14ac:dyDescent="0.35">
      <c r="A63" s="37"/>
      <c r="B63" s="38" t="b">
        <v>0</v>
      </c>
      <c r="C63" s="39"/>
      <c r="D63" s="42" t="s">
        <v>144</v>
      </c>
      <c r="E63" s="43" t="s">
        <v>40</v>
      </c>
      <c r="F63" s="42" t="s">
        <v>56</v>
      </c>
      <c r="G63" s="43"/>
      <c r="H63" s="44" t="s">
        <v>55</v>
      </c>
      <c r="I63" s="45">
        <v>46293</v>
      </c>
      <c r="J63" s="41"/>
    </row>
    <row r="64" spans="1:12" ht="43.5" customHeight="1" x14ac:dyDescent="0.35">
      <c r="A64" s="37"/>
      <c r="B64" s="38" t="b">
        <v>0</v>
      </c>
      <c r="C64" s="39"/>
      <c r="D64" s="42" t="s">
        <v>54</v>
      </c>
      <c r="E64" s="43" t="s">
        <v>38</v>
      </c>
      <c r="F64" s="42" t="s">
        <v>57</v>
      </c>
      <c r="G64" s="43"/>
      <c r="H64" s="44" t="s">
        <v>145</v>
      </c>
      <c r="I64" s="45" t="str">
        <f ca="1">IF(B64=FALSE,"",TODAY())</f>
        <v/>
      </c>
      <c r="J64" s="41"/>
    </row>
    <row r="65" spans="1:10" ht="43.5" customHeight="1" x14ac:dyDescent="0.35">
      <c r="A65" s="36"/>
      <c r="B65" s="46" t="b">
        <v>0</v>
      </c>
      <c r="C65" s="47"/>
      <c r="D65" s="42" t="s">
        <v>146</v>
      </c>
      <c r="E65" s="43" t="s">
        <v>59</v>
      </c>
      <c r="F65" s="42" t="s">
        <v>147</v>
      </c>
      <c r="G65" s="43"/>
      <c r="H65" s="44" t="s">
        <v>148</v>
      </c>
      <c r="I65" s="45">
        <v>46293</v>
      </c>
      <c r="J65" s="34"/>
    </row>
    <row r="66" spans="1:10" ht="15" thickBot="1" x14ac:dyDescent="0.4">
      <c r="A66" s="48"/>
      <c r="B66" s="49"/>
      <c r="C66" s="50"/>
      <c r="D66" s="51"/>
      <c r="E66" s="51"/>
      <c r="F66" s="51"/>
      <c r="G66" s="51"/>
      <c r="H66" s="51"/>
      <c r="I66" s="51"/>
      <c r="J66" s="52"/>
    </row>
  </sheetData>
  <mergeCells count="19">
    <mergeCell ref="H31:I31"/>
    <mergeCell ref="H7:I7"/>
    <mergeCell ref="B6:I6"/>
    <mergeCell ref="B19:I19"/>
    <mergeCell ref="H20:I20"/>
    <mergeCell ref="B30:I30"/>
    <mergeCell ref="G1:I1"/>
    <mergeCell ref="F2:I2"/>
    <mergeCell ref="F3:I3"/>
    <mergeCell ref="D2:E2"/>
    <mergeCell ref="D1:E1"/>
    <mergeCell ref="D3:E3"/>
    <mergeCell ref="B61:C61"/>
    <mergeCell ref="D61:F61"/>
    <mergeCell ref="B43:I43"/>
    <mergeCell ref="H44:I44"/>
    <mergeCell ref="B59:F59"/>
    <mergeCell ref="B60:C60"/>
    <mergeCell ref="D60:F60"/>
  </mergeCells>
  <conditionalFormatting sqref="F18">
    <cfRule type="expression" dxfId="10" priority="21">
      <formula>$L18=1</formula>
    </cfRule>
  </conditionalFormatting>
  <conditionalFormatting sqref="F45:F47 F55">
    <cfRule type="expression" dxfId="9" priority="10">
      <formula>$L45=1</formula>
    </cfRule>
  </conditionalFormatting>
  <conditionalFormatting sqref="F29">
    <cfRule type="expression" dxfId="8" priority="9">
      <formula>$L29=1</formula>
    </cfRule>
  </conditionalFormatting>
  <conditionalFormatting sqref="F42">
    <cfRule type="expression" dxfId="7" priority="8">
      <formula>$L42=1</formula>
    </cfRule>
  </conditionalFormatting>
  <conditionalFormatting sqref="F32:F33 F35">
    <cfRule type="expression" dxfId="6" priority="7">
      <formula>$L32=1</formula>
    </cfRule>
  </conditionalFormatting>
  <conditionalFormatting sqref="F21:F25">
    <cfRule type="expression" dxfId="5" priority="6">
      <formula>$L21=1</formula>
    </cfRule>
  </conditionalFormatting>
  <conditionalFormatting sqref="F8:F17">
    <cfRule type="expression" dxfId="4" priority="5">
      <formula>$L8=1</formula>
    </cfRule>
  </conditionalFormatting>
  <conditionalFormatting sqref="F26:F28">
    <cfRule type="expression" dxfId="3" priority="4">
      <formula>$L26=1</formula>
    </cfRule>
  </conditionalFormatting>
  <conditionalFormatting sqref="F34">
    <cfRule type="expression" dxfId="2" priority="3">
      <formula>$L34=1</formula>
    </cfRule>
  </conditionalFormatting>
  <conditionalFormatting sqref="F36:F41">
    <cfRule type="expression" dxfId="1" priority="2">
      <formula>$L36=1</formula>
    </cfRule>
  </conditionalFormatting>
  <conditionalFormatting sqref="F48:F54">
    <cfRule type="expression" dxfId="0" priority="1">
      <formula>$L48=1</formula>
    </cfRule>
  </conditionalFormatting>
  <pageMargins left="0.75" right="0.75" top="1" bottom="1" header="0.5" footer="0.5"/>
  <pageSetup orientation="portrait" verticalDpi="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>
                  <from>
                    <xdr:col>6</xdr:col>
                    <xdr:colOff>419100</xdr:colOff>
                    <xdr:row>62</xdr:row>
                    <xdr:rowOff>165100</xdr:rowOff>
                  </from>
                  <to>
                    <xdr:col>6</xdr:col>
                    <xdr:colOff>603250</xdr:colOff>
                    <xdr:row>62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Check Box 7">
              <controlPr defaultSize="0" autoFill="0" autoLine="0" autoPict="0">
                <anchor moveWithCells="1">
                  <from>
                    <xdr:col>6</xdr:col>
                    <xdr:colOff>419100</xdr:colOff>
                    <xdr:row>63</xdr:row>
                    <xdr:rowOff>184150</xdr:rowOff>
                  </from>
                  <to>
                    <xdr:col>6</xdr:col>
                    <xdr:colOff>603250</xdr:colOff>
                    <xdr:row>63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Check Box 8">
              <controlPr defaultSize="0" autoFill="0" autoLine="0" autoPict="0">
                <anchor moveWithCells="1">
                  <from>
                    <xdr:col>6</xdr:col>
                    <xdr:colOff>419100</xdr:colOff>
                    <xdr:row>64</xdr:row>
                    <xdr:rowOff>209550</xdr:rowOff>
                  </from>
                  <to>
                    <xdr:col>6</xdr:col>
                    <xdr:colOff>603250</xdr:colOff>
                    <xdr:row>64</xdr:row>
                    <xdr:rowOff>381000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>
          <x14:formula1>
            <xm:f>Datos!$A$15:$A$16</xm:f>
          </x14:formula1>
          <xm:sqref>D8:E18 D32:E42 D21:E29 D45:E55</xm:sqref>
        </x14:dataValidation>
        <x14:dataValidation type="list" allowBlank="1">
          <x14:formula1>
            <xm:f>Datos!$B$15:$B$17</xm:f>
          </x14:formula1>
          <xm:sqref>F8:F18 F32:F42 F21:F29 F45:F55</xm:sqref>
        </x14:dataValidation>
        <x14:dataValidation type="list" allowBlank="1" showInputMessage="1" showErrorMessage="1">
          <x14:formula1>
            <xm:f>Datos!$B$3:$B$11</xm:f>
          </x14:formula1>
          <xm:sqref>G1</xm:sqref>
        </x14:dataValidation>
        <x14:dataValidation type="list" allowBlank="1" showInputMessage="1" showErrorMessage="1">
          <x14:formula1>
            <xm:f>'Q:\Seguros Constitucion\Auditoria\Contraloria\2026\SISTEMAS\Plan de Trabajo\2026\2do Sem\Evaluaciones\[Cuestionario_Ciberseguridad_TI.xlsx]Datos'!#REF!</xm:f>
          </x14:formula1>
          <xm:sqref>E65</xm:sqref>
        </x14:dataValidation>
        <x14:dataValidation type="list" allowBlank="1" showInputMessage="1" showErrorMessage="1">
          <x14:formula1>
            <xm:f>Datos!$D$3:$D$11</xm:f>
          </x14:formula1>
          <xm:sqref>E63:E64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showGridLines="0" workbookViewId="0">
      <selection activeCell="C7" sqref="C7"/>
    </sheetView>
  </sheetViews>
  <sheetFormatPr baseColWidth="10" defaultRowHeight="14.5" x14ac:dyDescent="0.35"/>
  <cols>
    <col min="2" max="2" width="30" customWidth="1"/>
    <col min="3" max="3" width="30.26953125" bestFit="1" customWidth="1"/>
    <col min="4" max="4" width="29.26953125" bestFit="1" customWidth="1"/>
  </cols>
  <sheetData>
    <row r="1" spans="1:4" ht="15.75" customHeight="1" x14ac:dyDescent="0.35">
      <c r="A1" s="84" t="s">
        <v>22</v>
      </c>
      <c r="B1" s="85"/>
      <c r="C1" s="85"/>
    </row>
    <row r="2" spans="1:4" x14ac:dyDescent="0.35">
      <c r="A2" s="3" t="s">
        <v>0</v>
      </c>
      <c r="B2" s="1" t="s">
        <v>14</v>
      </c>
      <c r="C2" s="1" t="s">
        <v>49</v>
      </c>
      <c r="D2" s="1" t="s">
        <v>12</v>
      </c>
    </row>
    <row r="3" spans="1:4" x14ac:dyDescent="0.35">
      <c r="A3" s="4">
        <v>1</v>
      </c>
      <c r="B3" s="2" t="s">
        <v>19</v>
      </c>
      <c r="C3" s="2" t="s">
        <v>30</v>
      </c>
      <c r="D3" s="5" t="s">
        <v>13</v>
      </c>
    </row>
    <row r="4" spans="1:4" x14ac:dyDescent="0.35">
      <c r="A4" s="4">
        <v>2</v>
      </c>
      <c r="B4" s="2" t="s">
        <v>20</v>
      </c>
      <c r="C4" s="2" t="s">
        <v>31</v>
      </c>
      <c r="D4" s="5" t="s">
        <v>13</v>
      </c>
    </row>
    <row r="5" spans="1:4" x14ac:dyDescent="0.35">
      <c r="A5" s="4">
        <v>3</v>
      </c>
      <c r="B5" s="2" t="s">
        <v>21</v>
      </c>
      <c r="C5" s="2" t="s">
        <v>32</v>
      </c>
      <c r="D5" s="5" t="s">
        <v>13</v>
      </c>
    </row>
    <row r="6" spans="1:4" x14ac:dyDescent="0.35">
      <c r="A6" s="4">
        <v>4</v>
      </c>
      <c r="B6" s="2" t="s">
        <v>16</v>
      </c>
      <c r="C6" s="2" t="s">
        <v>33</v>
      </c>
      <c r="D6" s="5" t="s">
        <v>39</v>
      </c>
    </row>
    <row r="7" spans="1:4" x14ac:dyDescent="0.35">
      <c r="A7" s="4">
        <v>5</v>
      </c>
      <c r="B7" s="2" t="s">
        <v>17</v>
      </c>
      <c r="C7" s="2" t="s">
        <v>34</v>
      </c>
      <c r="D7" s="5" t="s">
        <v>40</v>
      </c>
    </row>
    <row r="8" spans="1:4" x14ac:dyDescent="0.35">
      <c r="A8" s="4">
        <v>6</v>
      </c>
      <c r="B8" s="2" t="s">
        <v>18</v>
      </c>
      <c r="C8" s="2" t="s">
        <v>35</v>
      </c>
      <c r="D8" s="5" t="s">
        <v>41</v>
      </c>
    </row>
    <row r="9" spans="1:4" x14ac:dyDescent="0.35">
      <c r="A9" s="4">
        <v>7</v>
      </c>
      <c r="B9" s="2" t="s">
        <v>15</v>
      </c>
      <c r="C9" s="2" t="s">
        <v>36</v>
      </c>
      <c r="D9" s="5" t="s">
        <v>42</v>
      </c>
    </row>
    <row r="10" spans="1:4" x14ac:dyDescent="0.35">
      <c r="A10" s="4">
        <v>8</v>
      </c>
      <c r="B10" s="2" t="s">
        <v>43</v>
      </c>
      <c r="C10" s="2" t="s">
        <v>43</v>
      </c>
      <c r="D10" s="5" t="s">
        <v>29</v>
      </c>
    </row>
    <row r="11" spans="1:4" x14ac:dyDescent="0.35">
      <c r="A11" s="4">
        <v>9</v>
      </c>
      <c r="B11" s="2" t="s">
        <v>37</v>
      </c>
      <c r="C11" s="2" t="s">
        <v>37</v>
      </c>
      <c r="D11" s="5" t="s">
        <v>38</v>
      </c>
    </row>
    <row r="14" spans="1:4" x14ac:dyDescent="0.35">
      <c r="A14" s="3" t="s">
        <v>24</v>
      </c>
      <c r="B14" s="1" t="s">
        <v>44</v>
      </c>
    </row>
    <row r="15" spans="1:4" x14ac:dyDescent="0.35">
      <c r="A15" s="4" t="s">
        <v>25</v>
      </c>
      <c r="B15" s="2" t="s">
        <v>26</v>
      </c>
    </row>
    <row r="16" spans="1:4" x14ac:dyDescent="0.35">
      <c r="A16" s="4" t="s">
        <v>9</v>
      </c>
      <c r="B16" s="2" t="s">
        <v>27</v>
      </c>
    </row>
    <row r="17" spans="1:4" x14ac:dyDescent="0.35">
      <c r="A17" s="4"/>
      <c r="B17" s="2" t="s">
        <v>28</v>
      </c>
    </row>
    <row r="22" spans="1:4" x14ac:dyDescent="0.35">
      <c r="C22" s="2" t="s">
        <v>58</v>
      </c>
      <c r="D22" s="5" t="s">
        <v>59</v>
      </c>
    </row>
    <row r="23" spans="1:4" x14ac:dyDescent="0.35">
      <c r="C23" s="2" t="s">
        <v>60</v>
      </c>
      <c r="D23" s="5" t="s">
        <v>61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796875" defaultRowHeight="14.5" x14ac:dyDescent="0.35"/>
  <sheetData>
    <row r="1" spans="1:1" x14ac:dyDescent="0.35">
      <c r="A1" t="s">
        <v>7</v>
      </c>
    </row>
    <row r="2" spans="1:1" x14ac:dyDescent="0.35">
      <c r="A2" t="s">
        <v>8</v>
      </c>
    </row>
    <row r="3" spans="1:1" x14ac:dyDescent="0.35">
      <c r="A3" t="s">
        <v>9</v>
      </c>
    </row>
    <row r="4" spans="1:1" x14ac:dyDescent="0.35">
      <c r="A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Redes y Telecom</vt:lpstr>
      <vt:lpstr>Datos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Rafael Gomez Rodriguez</cp:lastModifiedBy>
  <dcterms:created xsi:type="dcterms:W3CDTF">2026-08-10T18:53:52Z</dcterms:created>
  <dcterms:modified xsi:type="dcterms:W3CDTF">2026-09-29T19:31:36Z</dcterms:modified>
</cp:coreProperties>
</file>