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gomez\Desktop\Auditoria TI 2026\Levantamiento Información\Gerencia de Tecnología\Servidores y Base de Datos\"/>
    </mc:Choice>
  </mc:AlternateContent>
  <bookViews>
    <workbookView xWindow="0" yWindow="0" windowWidth="20490" windowHeight="7770"/>
  </bookViews>
  <sheets>
    <sheet name="Servidores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Servidores!$B$7:$I$96</definedName>
  </definedNames>
  <calcPr calcId="162913"/>
</workbook>
</file>

<file path=xl/calcChain.xml><?xml version="1.0" encoding="utf-8"?>
<calcChain xmlns="http://schemas.openxmlformats.org/spreadsheetml/2006/main">
  <c r="G99" i="1" l="1"/>
  <c r="L95" i="1" l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2" i="1"/>
  <c r="K12" i="1"/>
  <c r="L11" i="1"/>
  <c r="K11" i="1"/>
  <c r="L10" i="1"/>
  <c r="K10" i="1"/>
  <c r="L9" i="1"/>
  <c r="K9" i="1"/>
  <c r="L8" i="1"/>
  <c r="K8" i="1"/>
  <c r="S13" i="1"/>
  <c r="L13" i="1"/>
  <c r="K13" i="1"/>
  <c r="P5" i="1"/>
  <c r="P4" i="1"/>
  <c r="P2" i="1" l="1"/>
  <c r="Q13" i="1" s="1"/>
  <c r="D100" i="1"/>
  <c r="D101" i="1"/>
  <c r="I105" i="1"/>
  <c r="I104" i="1"/>
  <c r="P3" i="1" l="1"/>
  <c r="P9" i="1"/>
  <c r="P8" i="1"/>
  <c r="P6" i="1"/>
  <c r="P10" i="1"/>
  <c r="G87" i="1"/>
  <c r="G86" i="1"/>
  <c r="G85" i="1"/>
  <c r="G84" i="1"/>
  <c r="G83" i="1"/>
  <c r="G82" i="1"/>
  <c r="G81" i="1"/>
  <c r="G80" i="1"/>
  <c r="G79" i="1"/>
  <c r="G75" i="1"/>
  <c r="G74" i="1"/>
  <c r="G73" i="1"/>
  <c r="G72" i="1"/>
  <c r="G71" i="1"/>
  <c r="G70" i="1"/>
  <c r="G66" i="1"/>
  <c r="G65" i="1"/>
  <c r="G64" i="1"/>
  <c r="G63" i="1"/>
  <c r="G59" i="1"/>
  <c r="G58" i="1"/>
  <c r="G57" i="1"/>
  <c r="G56" i="1"/>
  <c r="G55" i="1"/>
  <c r="G54" i="1"/>
  <c r="G50" i="1"/>
  <c r="G40" i="1"/>
  <c r="G39" i="1"/>
  <c r="G95" i="1"/>
  <c r="G94" i="1"/>
  <c r="G93" i="1"/>
  <c r="G92" i="1"/>
  <c r="G91" i="1"/>
  <c r="G48" i="1"/>
  <c r="G47" i="1"/>
  <c r="G46" i="1"/>
  <c r="G45" i="1"/>
  <c r="G49" i="1" l="1"/>
  <c r="G44" i="1"/>
  <c r="G38" i="1"/>
  <c r="G37" i="1"/>
  <c r="G36" i="1"/>
  <c r="G35" i="1"/>
  <c r="G34" i="1"/>
  <c r="G33" i="1"/>
  <c r="G32" i="1"/>
  <c r="G31" i="1"/>
  <c r="G27" i="1"/>
  <c r="G26" i="1"/>
  <c r="G25" i="1"/>
  <c r="G24" i="1"/>
  <c r="G23" i="1"/>
  <c r="G22" i="1"/>
  <c r="G21" i="1"/>
  <c r="G20" i="1"/>
  <c r="G16" i="1"/>
  <c r="G15" i="1"/>
  <c r="G14" i="1"/>
  <c r="G13" i="1"/>
  <c r="G12" i="1"/>
  <c r="G11" i="1"/>
  <c r="G10" i="1"/>
  <c r="G9" i="1"/>
  <c r="R13" i="1" l="1"/>
  <c r="L96" i="1"/>
  <c r="G8" i="1" l="1"/>
  <c r="P7" i="1" l="1"/>
  <c r="O13" i="1"/>
  <c r="P13" i="1" l="1"/>
</calcChain>
</file>

<file path=xl/sharedStrings.xml><?xml version="1.0" encoding="utf-8"?>
<sst xmlns="http://schemas.openxmlformats.org/spreadsheetml/2006/main" count="617" uniqueCount="246">
  <si>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</si>
  <si>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</si>
  <si>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</si>
  <si>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</si>
  <si>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</si>
  <si>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</si>
  <si>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</si>
  <si>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Respuestas</t>
  </si>
  <si>
    <t>Sí</t>
  </si>
  <si>
    <t>No</t>
  </si>
  <si>
    <t>Parcialmente</t>
  </si>
  <si>
    <t>Observaciones</t>
  </si>
  <si>
    <t>Responsable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</si>
  <si>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</si>
  <si>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</si>
  <si>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</si>
  <si>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</si>
  <si>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</si>
  <si>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</si>
  <si>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</si>
  <si>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</si>
  <si>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</si>
  <si>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</si>
  <si>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</si>
  <si>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</si>
  <si>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</si>
  <si>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</si>
  <si>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</si>
  <si>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</si>
  <si>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</si>
  <si>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</si>
  <si>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</si>
  <si>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</si>
  <si>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</si>
  <si>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</si>
  <si>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</si>
  <si>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</si>
  <si>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</si>
  <si>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</si>
  <si>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</si>
  <si>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</si>
  <si>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</si>
  <si>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</si>
  <si>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</si>
  <si>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</si>
  <si>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</si>
  <si>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</si>
  <si>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</si>
  <si>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</si>
  <si>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PROMEDIO GENERAL DE CUMPLIMIENTO DE AUDITORÍA</t>
  </si>
  <si>
    <t>Resumen Operativo:</t>
  </si>
  <si>
    <t>PreguntadeAuditoría</t>
  </si>
  <si>
    <t>¿Se ejecutan pruebas periódicas planificadas de restauración a partir de las copias de seguridad existentes?</t>
  </si>
  <si>
    <t>INV-01</t>
  </si>
  <si>
    <t>¿Existe un inventario formal y documentado de los servidores físicos?</t>
  </si>
  <si>
    <t>INV-02</t>
  </si>
  <si>
    <t>¿Existe un inventario formal y documentado de los servidores virtuales?</t>
  </si>
  <si>
    <t>INV-03</t>
  </si>
  <si>
    <t>INV-04</t>
  </si>
  <si>
    <t>¿El inventario registra el sistema operativo y su versión exacta para cada servidor?</t>
  </si>
  <si>
    <t>INV-05</t>
  </si>
  <si>
    <t>INV-06</t>
  </si>
  <si>
    <t>¿El inventario clasifica cada servidor según su entorno (Producción, Desarrollo, Pruebas)?</t>
  </si>
  <si>
    <t>INV-07</t>
  </si>
  <si>
    <t>ACC-01</t>
  </si>
  <si>
    <t>ACC-02</t>
  </si>
  <si>
    <t>ACC-03</t>
  </si>
  <si>
    <t>¿Se asignan cuentas de usuario nominativas e individuales para la administración de cada servidor?</t>
  </si>
  <si>
    <t>ACC-04</t>
  </si>
  <si>
    <t>ACC-05</t>
  </si>
  <si>
    <t>ACC-06</t>
  </si>
  <si>
    <t>BKP-01</t>
  </si>
  <si>
    <t>BKP-02</t>
  </si>
  <si>
    <t>BKP-03</t>
  </si>
  <si>
    <t>BKP-04</t>
  </si>
  <si>
    <t>BKP-05</t>
  </si>
  <si>
    <t>MON-01</t>
  </si>
  <si>
    <t>MON-02</t>
  </si>
  <si>
    <t>¿Existen alertas automáticas configuradas ante eventos de falla o umbrales críticos de rendimiento?</t>
  </si>
  <si>
    <t>MON-03</t>
  </si>
  <si>
    <t>MON-04</t>
  </si>
  <si>
    <t>¿Está restringido el uso directo de cuentas genéricas (ej. root, administrator) para la gestión diaria?</t>
  </si>
  <si>
    <t>1. Gobierno, Políticas y Organización</t>
  </si>
  <si>
    <t>GOB-01</t>
  </si>
  <si>
    <t>¿Existe una política formalmente documentada y aprobada para el ciclo de vida de los servidores?</t>
  </si>
  <si>
    <t>GOB-02</t>
  </si>
  <si>
    <t>¿Se encuentran divulgadas y comunicadas las políticas de servidores a todo el personal del área?</t>
  </si>
  <si>
    <t>GOB-03</t>
  </si>
  <si>
    <t>¿Están definidas y documentadas por escrito las funciones y responsabilidades del personal de Servidores?</t>
  </si>
  <si>
    <t>GOB-04</t>
  </si>
  <si>
    <t>¿Se cuenta con una matriz de asignación de responsabilidades (RACI) aprobada para el área de Servidores?</t>
  </si>
  <si>
    <t>GOB-05</t>
  </si>
  <si>
    <t>¿Existe una estructura organizativa formal que garantice la segregación de funciones (SoD) en la gestión de servidores?</t>
  </si>
  <si>
    <t>GOB-06</t>
  </si>
  <si>
    <t>¿Se encuentra documentada la capacidad requerida de los servidores en función de la demanda del negocio?</t>
  </si>
  <si>
    <t>GOB-07</t>
  </si>
  <si>
    <t>¿Existen Acuerdos de Nivel de Servicio (SLA) formalizados para la disponibilidad de la infraestructura de servidores?</t>
  </si>
  <si>
    <t>GOB-08</t>
  </si>
  <si>
    <t>¿Existe un proceso formal para verificar que el personal posea las competencias técnicas requeridas para su cargo?</t>
  </si>
  <si>
    <t>GOB-09</t>
  </si>
  <si>
    <t>2. Inventario, Clasificación y Gestión de Activos</t>
  </si>
  <si>
    <t>¿El inventario detalla la dirección IP asignada a cada servidor?</t>
  </si>
  <si>
    <t>¿El inventario especifica la función o rol operativo asignado a cada servidor?</t>
  </si>
  <si>
    <t>¿Existe un procedimiento formalizado para actualizar el inventario ante altas, modificaciones o bajas de servidores?</t>
  </si>
  <si>
    <t>INV-08</t>
  </si>
  <si>
    <t>¿Se encuentran identificados en el inventario los servidores cuya versión de sistema operativo haya alcanzado su fin de soporte (EOL)?</t>
  </si>
  <si>
    <t>3. Control de Acceso, Identidades y Privilegios (IAM / PAM)</t>
  </si>
  <si>
    <t>¿Existe una política documentada para la asignación y control de accesos a los servidores?</t>
  </si>
  <si>
    <t>¿Se requiere autenticación de doble factor (MFA) para el acceso administrativo remoto a los servidores?</t>
  </si>
  <si>
    <t>¿Se requiere el uso de una solución de Gestión de Accesos Privilegiados (PAM) para acceder a servidores de producción?</t>
  </si>
  <si>
    <t>ACC-07</t>
  </si>
  <si>
    <t>¿Se registran o graban en bitácoras las sesiones administrativas realizadas en servidores críticos?</t>
  </si>
  <si>
    <t>ACC-08</t>
  </si>
  <si>
    <t>¿Está deshabilitada la autenticación mediante contraseña simple para accesos remotos SSH/RDP en servidores?</t>
  </si>
  <si>
    <t>ACC-09</t>
  </si>
  <si>
    <t>¿Se ejecutan revisiones periódicas de las cuentas activas y privilegios asignados en los servidores?</t>
  </si>
  <si>
    <t>ACC-10</t>
  </si>
  <si>
    <t>¿Existe un procedimiento formal para la revocación inmediata de accesos a servidores ante el egreso de personal?</t>
  </si>
  <si>
    <t>4. Endurecimiento (Hardening), Vulnerabilidades y Parches</t>
  </si>
  <si>
    <t>HRD-01</t>
  </si>
  <si>
    <t>HRD-02</t>
  </si>
  <si>
    <t>¿Se deshabilitan o remueven los servicios, protocolos y puertos no requeridos antes de pasar un servidor a producción?</t>
  </si>
  <si>
    <t>HRD-03</t>
  </si>
  <si>
    <t>¿Existe un procedimiento formalmente documentado para la gestión y aplicación de parches de seguridad en servidores?</t>
  </si>
  <si>
    <t>HRD-04</t>
  </si>
  <si>
    <t>¿Se ejecutan pruebas de parches en un entorno de pruebas previo a su instalación en producción?</t>
  </si>
  <si>
    <t>HRD-05</t>
  </si>
  <si>
    <t>¿Se ejecutan análisis de vulnerabilidades automatizados con frecuencia periódica sobre todos los servidores?</t>
  </si>
  <si>
    <t>HRD-06</t>
  </si>
  <si>
    <t>¿Existe un plazo máximo formal (SLA) para la remediación de vulnerabilidades clasificadas como 'Críticas' en servidores?</t>
  </si>
  <si>
    <t>HRD-07</t>
  </si>
  <si>
    <t>¿Se valida la firma digital de firmware y controladores antes de su actualización en el hardware de servidores?</t>
  </si>
  <si>
    <t>5. Entornos Nube, Contenedores y Microservicios</t>
  </si>
  <si>
    <t>CLD-01</t>
  </si>
  <si>
    <t>¿Se aplican plantillas de configuración segura en la creación de imágenes base de contenedores?</t>
  </si>
  <si>
    <t>CLD-02</t>
  </si>
  <si>
    <t>¿Se escanean automáticamente las imágenes de contenedores en búsqueda de vulnerabilidades antes de su despliegue?</t>
  </si>
  <si>
    <t>CLD-03</t>
  </si>
  <si>
    <t>CLD-04</t>
  </si>
  <si>
    <t>CLD-05</t>
  </si>
  <si>
    <t>CLD-06</t>
  </si>
  <si>
    <t>6. DevSecOps e Infraestructura como Código (IaC)</t>
  </si>
  <si>
    <t>DSO-01</t>
  </si>
  <si>
    <t>¿Se gestionan los scripts de infraestructura como código (IaC: Terraform, Ansible) bajo un sistema de control de versiones?</t>
  </si>
  <si>
    <t>DSO-02</t>
  </si>
  <si>
    <t>¿Se ejecutan análisis estáticos de seguridad (SAST/IaC) sobre los scripts de infraestructura antes de aplicarlos en producción?</t>
  </si>
  <si>
    <t>DSO-03</t>
  </si>
  <si>
    <t>DSO-04</t>
  </si>
  <si>
    <t>7. Monitoreo, Bitácoras y Detección de Intrusiones</t>
  </si>
  <si>
    <t>¿Se monitorea en tiempo real el consumo de recursos (CPU, memoria, disco) mediante una herramienta centralizada?</t>
  </si>
  <si>
    <t>¿Tienen desplegado un agente de Detección y Respuesta en Endpoints (EDR/XDR) los servidores de la organización?</t>
  </si>
  <si>
    <t>MON-05</t>
  </si>
  <si>
    <t>¿Se encuentran sincronizados los relojes del sistema de todos los servidores mediante un servidor de hora confiable (NTP)?</t>
  </si>
  <si>
    <t>MON-06</t>
  </si>
  <si>
    <t>¿Existen reglas en el SIEM para detectar intentos de escalación de privilegios o actividades anómalas en servidores?</t>
  </si>
  <si>
    <t>8. Gestión de Respaldos, Continuidad y Anti-Ransomware</t>
  </si>
  <si>
    <t>¿Existe una política documentada para la generación y retención de copias de seguridad en servidores?</t>
  </si>
  <si>
    <t>¿Se realizan respaldos periódicos del sistema operativo e imagen base de los servidores?</t>
  </si>
  <si>
    <t>¿Se realizan respaldos periódicos de los datos y bases de datos alojadas en los servidores?</t>
  </si>
  <si>
    <t>BKP-06</t>
  </si>
  <si>
    <t>¿Está documentado el Tiempo Objetivo de Recuperación (RTO) para cada servidor según su criticidad?</t>
  </si>
  <si>
    <t>BKP-07</t>
  </si>
  <si>
    <t>¿Está documentado el Punto Objetivo de Recuperación (RPO) para los datos alojados en los servidores?</t>
  </si>
  <si>
    <t>BKP-08</t>
  </si>
  <si>
    <t>BKP-09</t>
  </si>
  <si>
    <t>¿Se certifica y documenta la integridad de los datos recuperados tras cada prueba de restauración?</t>
  </si>
  <si>
    <t>9. Operaciones, Mantenimiento y Gestión de Cambios</t>
  </si>
  <si>
    <t>OPS-01</t>
  </si>
  <si>
    <t>¿Requiere autorización formal previa cualquier cambio o modificación operativa en la configuración de un servidor?</t>
  </si>
  <si>
    <t>OPS-02</t>
  </si>
  <si>
    <t>OPS-03</t>
  </si>
  <si>
    <t>OPS-04</t>
  </si>
  <si>
    <t>¿Existe un registro centralizado y estandarizado para la documentación de fallas e incidentes en servidores?</t>
  </si>
  <si>
    <t>OPS-05</t>
  </si>
  <si>
    <t>¿Cuentan los servidores y su infraestructura asociada con contratos de soporte técnico y mantenimiento vigentes con proveedores?</t>
  </si>
  <si>
    <t>¿Se encuentra restringido el acceso a las herramientas de programación de tareas (schedulers) únicamente a personal autorizado?</t>
  </si>
  <si>
    <t>¿Existen instrucciones documentadas de reinicio y recuperación (Restart/Recovery) para procesos críticos en servidores?</t>
  </si>
  <si>
    <t>¿Está condicionada la elevación de privilegios en servidores a un flujo de aprobación en tiempo real (Just-In-Time)?</t>
  </si>
  <si>
    <t>¿Existen guías de endurecimiento de seguridad (Hardening / CIS Benchmarks) documentadas para la instalación de servidores?</t>
  </si>
  <si>
    <t>¿Está restringida la ejecución de contenedores con privilegios de usuario root en el orquestador?</t>
  </si>
  <si>
    <t>¿Se aplica aislamiento de red entre pods o microservicios mediante políticas de red (Network Policies)?</t>
  </si>
  <si>
    <t>¿Está restringido el acceso público directo al plano de control (Control Plane) de los clústeres en la nube?</t>
  </si>
  <si>
    <t>¿Se emplean identidades administradas (Roles IAM / Managed Identities) para evitar credenciales estáticas en aplicaciones?</t>
  </si>
  <si>
    <t>¿Se almacenan las claves criptográficas y secretos de infraestructura en una bóveda centralizada (Key Vault)?</t>
  </si>
  <si>
    <t>¿Está bloqueada la modificación manual directa de parámetros en servidores de producción (Infraestructura Inmutable)?</t>
  </si>
  <si>
    <t>¿Se centralizan las bitácoras (logs) de eventos de los servidores en una solución SIEM en tiempo real?</t>
  </si>
  <si>
    <t>¿Se almacenan las copias de seguridad en una ubicación externa o sitio alterno (off-site)?</t>
  </si>
  <si>
    <t>¿Cuentan los respaldos de servidores con mecanismos de almacenamiento inmutable (WORM) o aislamiento (Air-Gap) contra ransomware?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</si>
  <si>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</si>
  <si>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</si>
  <si>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</si>
  <si>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</si>
  <si>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</si>
  <si>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</si>
  <si>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</si>
  <si>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</si>
  <si>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AC-A2-37-08-2026-7</t>
  </si>
  <si>
    <t>Resumen Documentación:</t>
  </si>
  <si>
    <t>Elaborado por:</t>
  </si>
  <si>
    <t>Fecha Recepción</t>
  </si>
  <si>
    <t>Verificado por:</t>
  </si>
  <si>
    <t>Verificación</t>
  </si>
  <si>
    <t>Fecha Verificación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</si>
  <si>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</si>
  <si>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</si>
  <si>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</si>
  <si>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</si>
  <si>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</si>
  <si>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</si>
  <si>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</si>
  <si>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</si>
  <si>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</si>
  <si>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</si>
  <si>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</si>
  <si>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</si>
  <si>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</si>
  <si>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</si>
  <si>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</si>
  <si>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</si>
  <si>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</si>
  <si>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</si>
  <si>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</si>
  <si>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</si>
  <si>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</si>
  <si>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</si>
  <si>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</si>
  <si>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</si>
  <si>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</si>
  <si>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</si>
  <si>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</si>
  <si>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SERVIDORES</t>
  </si>
  <si>
    <t>(Indique Nombre del Responsable...)</t>
  </si>
  <si>
    <t>¿Se ejecuta una revisión recurrente de los perfies del equipo estructurado del personal de administración de servidores?</t>
  </si>
  <si>
    <t>Solo existen 2 Administradores no se han determinado perfiles</t>
  </si>
  <si>
    <t>No se tienen acuerdos de servicio</t>
  </si>
  <si>
    <t>No aplica al no existir segregación</t>
  </si>
  <si>
    <t>Solo los 2 usuarios administradores tienen acceso y Ciber seguridad</t>
  </si>
  <si>
    <t>Se mantienen las buenas prácticas</t>
  </si>
  <si>
    <t>Solo con VPN</t>
  </si>
  <si>
    <t>Ese procedimiento no se encuentra activo</t>
  </si>
  <si>
    <t>Son manejados por DAYCO</t>
  </si>
  <si>
    <t>Dependen del servicio de DAYCO</t>
  </si>
  <si>
    <t>Se requiere un STORAGE con Aislamiento</t>
  </si>
  <si>
    <t>Se requiere un Software de analisis de vulnerabilidades</t>
  </si>
  <si>
    <t>Certificada por el usuario</t>
  </si>
  <si>
    <t>Se ejecuta por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</si>
</sst>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3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 tint="-0.2499465926084170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0" fillId="0" borderId="0" xfId="0"/>
    <xf numFmtId="0" fontId="0" fillId="0" borderId="0" xfId="0" applyAlignment="1"/>
    <xf numFmtId="0" fontId="0" fillId="0" borderId="7" xfId="0" applyBorder="1" applyAlignment="1"/>
    <xf numFmtId="0" fontId="2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/>
    <xf numFmtId="0" fontId="0" fillId="0" borderId="13" xfId="0" applyBorder="1" applyAlignment="1"/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3" fillId="6" borderId="15" xfId="0" applyNumberFormat="1" applyFont="1" applyFill="1" applyBorder="1" applyAlignment="1" applyProtection="1">
      <alignment horizontal="center" vertical="center"/>
      <protection hidden="1"/>
    </xf>
    <xf numFmtId="0" fontId="12" fillId="0" borderId="9" xfId="0" applyFont="1" applyBorder="1" applyProtection="1">
      <protection hidden="1"/>
    </xf>
    <xf numFmtId="0" fontId="12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4" fillId="8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12" fillId="0" borderId="11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9" borderId="20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27" xfId="0" applyFont="1" applyFill="1" applyBorder="1" applyAlignment="1">
      <alignment horizontal="center" vertical="center" wrapText="1"/>
    </xf>
    <xf numFmtId="0" fontId="3" fillId="9" borderId="28" xfId="0" applyFont="1" applyFill="1" applyBorder="1" applyAlignment="1">
      <alignment horizontal="center" vertical="center" wrapText="1"/>
    </xf>
    <xf numFmtId="0" fontId="16" fillId="0" borderId="29" xfId="0" applyFont="1" applyBorder="1" applyAlignment="1">
      <alignment horizontal="left" vertical="center"/>
    </xf>
    <xf numFmtId="0" fontId="0" fillId="0" borderId="0" xfId="0" applyProtection="1">
      <protection hidden="1"/>
    </xf>
    <xf numFmtId="0" fontId="17" fillId="0" borderId="29" xfId="0" applyFont="1" applyBorder="1" applyAlignment="1">
      <alignment horizontal="left" vertical="center"/>
    </xf>
    <xf numFmtId="0" fontId="18" fillId="0" borderId="29" xfId="0" applyFont="1" applyBorder="1" applyAlignment="1">
      <alignment horizontal="left" vertical="center"/>
    </xf>
    <xf numFmtId="10" fontId="18" fillId="0" borderId="29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6" fillId="7" borderId="17" xfId="0" applyFont="1" applyFill="1" applyBorder="1" applyAlignment="1" applyProtection="1">
      <alignment horizontal="center" vertical="center"/>
      <protection hidden="1"/>
    </xf>
    <xf numFmtId="0" fontId="6" fillId="7" borderId="18" xfId="0" applyFont="1" applyFill="1" applyBorder="1" applyAlignment="1" applyProtection="1">
      <alignment horizontal="center" vertical="center"/>
      <protection hidden="1"/>
    </xf>
    <xf numFmtId="0" fontId="6" fillId="7" borderId="19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8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$B$103" lockText="1" noThreeD="1"/>
</file>

<file path=xl/ctrlProps/ctrlProp2.xml><?xml version="1.0" encoding="utf-8"?>
<formControlPr xmlns="http://schemas.microsoft.com/office/spreadsheetml/2009/9/main" objectType="CheckBox" fmlaLink="$B$104" lockText="1" noThreeD="1"/>
</file>

<file path=xl/ctrlProps/ctrlProp3.xml><?xml version="1.0" encoding="utf-8"?>
<formControlPr xmlns="http://schemas.microsoft.com/office/spreadsheetml/2009/9/main" objectType="CheckBox" fmlaLink="$B$105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63501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102</xdr:row>
          <xdr:rowOff>165100</xdr:rowOff>
        </xdr:from>
        <xdr:to>
          <xdr:col>6</xdr:col>
          <xdr:colOff>603250</xdr:colOff>
          <xdr:row>102</xdr:row>
          <xdr:rowOff>355600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103</xdr:row>
          <xdr:rowOff>184150</xdr:rowOff>
        </xdr:from>
        <xdr:to>
          <xdr:col>6</xdr:col>
          <xdr:colOff>603250</xdr:colOff>
          <xdr:row>103</xdr:row>
          <xdr:rowOff>361950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104</xdr:row>
          <xdr:rowOff>209550</xdr:rowOff>
        </xdr:from>
        <xdr:to>
          <xdr:col>6</xdr:col>
          <xdr:colOff>603250</xdr:colOff>
          <xdr:row>104</xdr:row>
          <xdr:rowOff>381000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6"/>
  <sheetViews>
    <sheetView showGridLines="0" tabSelected="1" zoomScale="80" zoomScaleNormal="80" workbookViewId="0">
      <selection activeCell="H7" sqref="H7:I7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46" style="23" customWidth="1"/>
    <col min="4" max="6" width="17.81640625" customWidth="1"/>
    <col min="7" max="7" width="15.54296875" customWidth="1"/>
    <col min="8" max="8" width="12.81640625" bestFit="1" customWidth="1"/>
    <col min="9" max="9" width="35.7265625" customWidth="1"/>
    <col min="10" max="10" width="3.7265625" customWidth="1"/>
    <col min="11" max="11" width="0" hidden="1" customWidth="1"/>
    <col min="12" max="12" width="9.1796875" hidden="1" customWidth="1"/>
    <col min="13" max="14" width="0" style="23" hidden="1" customWidth="1"/>
    <col min="15" max="20" width="0" hidden="1" customWidth="1"/>
  </cols>
  <sheetData>
    <row r="1" spans="1:19" ht="36.75" customHeight="1" thickBot="1" x14ac:dyDescent="0.4">
      <c r="D1" s="80" t="s">
        <v>43</v>
      </c>
      <c r="E1" s="80"/>
      <c r="F1" s="21" t="s">
        <v>46</v>
      </c>
      <c r="G1" s="76" t="s">
        <v>15</v>
      </c>
      <c r="H1" s="76"/>
      <c r="I1" s="76"/>
      <c r="K1" s="22"/>
      <c r="L1" s="22"/>
      <c r="M1" s="22"/>
      <c r="N1" s="64" t="s">
        <v>203</v>
      </c>
      <c r="O1" s="64" t="s">
        <v>204</v>
      </c>
      <c r="P1" s="64" t="s">
        <v>205</v>
      </c>
      <c r="Q1" s="65"/>
      <c r="R1" s="65"/>
      <c r="S1" s="65"/>
    </row>
    <row r="2" spans="1:19" ht="36.75" customHeight="1" thickBot="1" x14ac:dyDescent="0.4">
      <c r="D2" s="80" t="s">
        <v>44</v>
      </c>
      <c r="E2" s="80"/>
      <c r="F2" s="76" t="s">
        <v>48</v>
      </c>
      <c r="G2" s="76"/>
      <c r="H2" s="76"/>
      <c r="I2" s="76"/>
      <c r="K2" s="22"/>
      <c r="L2" s="22"/>
      <c r="M2" s="22"/>
      <c r="N2" s="64" t="s">
        <v>206</v>
      </c>
      <c r="O2" s="66" t="s">
        <v>207</v>
      </c>
      <c r="P2" s="67">
        <f>COUNT(K8:K120)</f>
        <v>88</v>
      </c>
      <c r="Q2" s="65"/>
      <c r="R2" s="65"/>
      <c r="S2" s="65"/>
    </row>
    <row r="3" spans="1:19" ht="16" thickBot="1" x14ac:dyDescent="0.4">
      <c r="D3" s="80" t="s">
        <v>45</v>
      </c>
      <c r="E3" s="80"/>
      <c r="F3" s="77" t="s">
        <v>196</v>
      </c>
      <c r="G3" s="78"/>
      <c r="H3" s="78"/>
      <c r="I3" s="79"/>
      <c r="K3" s="22"/>
      <c r="L3" s="22"/>
      <c r="M3" s="22"/>
      <c r="N3" s="64" t="s">
        <v>208</v>
      </c>
      <c r="O3" s="66" t="s">
        <v>209</v>
      </c>
      <c r="P3" s="67">
        <f>COUNTIF(D8:D120, "Si")</f>
        <v>33</v>
      </c>
      <c r="Q3" s="65"/>
      <c r="R3" s="65"/>
      <c r="S3" s="65"/>
    </row>
    <row r="4" spans="1:19" ht="16" thickBot="1" x14ac:dyDescent="0.4">
      <c r="K4" s="22"/>
      <c r="L4" s="22"/>
      <c r="M4" s="22"/>
      <c r="N4" s="64" t="s">
        <v>210</v>
      </c>
      <c r="O4" s="66" t="s">
        <v>211</v>
      </c>
      <c r="P4" s="67">
        <f>COUNTIF(E8:E120, "Si")</f>
        <v>3</v>
      </c>
      <c r="Q4" s="65"/>
      <c r="R4" s="65"/>
      <c r="S4" s="65"/>
    </row>
    <row r="5" spans="1:19" ht="16" thickBot="1" x14ac:dyDescent="0.4">
      <c r="A5" s="13"/>
      <c r="B5" s="14"/>
      <c r="C5" s="24"/>
      <c r="D5" s="14"/>
      <c r="E5" s="14"/>
      <c r="F5" s="14"/>
      <c r="G5" s="14"/>
      <c r="H5" s="14"/>
      <c r="I5" s="14"/>
      <c r="J5" s="15"/>
      <c r="K5" s="22"/>
      <c r="L5" s="22"/>
      <c r="M5" s="22"/>
      <c r="N5" s="64" t="s">
        <v>212</v>
      </c>
      <c r="O5" s="66" t="s">
        <v>213</v>
      </c>
      <c r="P5" s="67">
        <f>COUNTIF(F8:F120, "Inexistente")</f>
        <v>61</v>
      </c>
      <c r="Q5" s="65"/>
      <c r="R5" s="65"/>
      <c r="S5" s="65"/>
    </row>
    <row r="6" spans="1:19" ht="15" customHeight="1" thickBot="1" x14ac:dyDescent="0.4">
      <c r="A6" s="16"/>
      <c r="B6" s="75" t="s">
        <v>82</v>
      </c>
      <c r="C6" s="75"/>
      <c r="D6" s="75"/>
      <c r="E6" s="75"/>
      <c r="F6" s="75"/>
      <c r="G6" s="75"/>
      <c r="H6" s="75"/>
      <c r="I6" s="75"/>
      <c r="J6" s="17"/>
      <c r="K6" s="22"/>
      <c r="L6" s="22"/>
      <c r="M6" s="22"/>
      <c r="N6" s="64" t="s">
        <v>214</v>
      </c>
      <c r="O6" s="66" t="s">
        <v>215</v>
      </c>
      <c r="P6" s="68">
        <f>(COUNTIF(D8:D120,"Si")+(COUNTIF(E8:E120,"SI")+(COUNTIF(F8:F120,"Actualizado")*0.5))/COUNT(K8:K120))*0.01</f>
        <v>0.33034090909090907</v>
      </c>
      <c r="Q6" s="65"/>
      <c r="R6" s="65"/>
      <c r="S6" s="65"/>
    </row>
    <row r="7" spans="1:19" ht="29.5" thickBot="1" x14ac:dyDescent="0.4">
      <c r="A7" s="16"/>
      <c r="B7" s="6" t="s">
        <v>0</v>
      </c>
      <c r="C7" s="25" t="s">
        <v>51</v>
      </c>
      <c r="D7" s="6" t="s">
        <v>1</v>
      </c>
      <c r="E7" s="6" t="s">
        <v>2</v>
      </c>
      <c r="F7" s="6" t="s">
        <v>3</v>
      </c>
      <c r="G7" s="6" t="s">
        <v>4</v>
      </c>
      <c r="H7" s="74" t="s">
        <v>11</v>
      </c>
      <c r="I7" s="74"/>
      <c r="J7" s="17"/>
      <c r="K7" s="22"/>
      <c r="L7" s="22"/>
      <c r="M7" s="22"/>
      <c r="N7" s="64" t="s">
        <v>216</v>
      </c>
      <c r="O7" s="66" t="s">
        <v>217</v>
      </c>
      <c r="P7" s="67">
        <f>SUMPRODUCT((D8:D120="Si")*1 + (E8:E120="Si")*0.5, F8:F120="Actualizado") / SUM(G8:G120) * 5</f>
        <v>0</v>
      </c>
      <c r="Q7" s="65"/>
      <c r="R7" s="65"/>
      <c r="S7" s="65"/>
    </row>
    <row r="8" spans="1:19" ht="40" customHeight="1" thickBot="1" x14ac:dyDescent="0.4">
      <c r="A8" s="16"/>
      <c r="B8" s="8" t="s">
        <v>83</v>
      </c>
      <c r="C8" s="26" t="s">
        <v>84</v>
      </c>
      <c r="D8" s="58" t="s">
        <v>9</v>
      </c>
      <c r="E8" s="59" t="s">
        <v>9</v>
      </c>
      <c r="F8" s="60" t="s">
        <v>26</v>
      </c>
      <c r="G8" s="9">
        <f>IF(D8="","",IF(D8="No",0,0.4+IF(E8="Si",0.3,0)+IF(F8="Actualizado",0.3,IF(F8="Desactualizado",0.15,0))))</f>
        <v>0</v>
      </c>
      <c r="H8" s="10" t="s">
        <v>5</v>
      </c>
      <c r="I8" s="11" t="s">
        <v>6</v>
      </c>
      <c r="J8" s="17"/>
      <c r="K8" s="65">
        <f>IF(H8="Detalle:",1,0)</f>
        <v>1</v>
      </c>
      <c r="L8" s="22">
        <f>IF(E8="","",IF(AND(E8="No",F8&lt;&gt;"Inexistente"),1,0))</f>
        <v>0</v>
      </c>
      <c r="M8" s="22"/>
      <c r="N8" s="64" t="s">
        <v>218</v>
      </c>
      <c r="O8" s="66" t="s">
        <v>219</v>
      </c>
      <c r="P8" s="67">
        <f>COUNTIFS(D8:D120, "No", E8:E120, "No",F8:F120,"Inexistente")</f>
        <v>30</v>
      </c>
      <c r="Q8" s="65"/>
      <c r="R8" s="65"/>
      <c r="S8" s="65"/>
    </row>
    <row r="9" spans="1:19" ht="40" customHeight="1" thickBot="1" x14ac:dyDescent="0.4">
      <c r="A9" s="16"/>
      <c r="B9" s="8" t="s">
        <v>85</v>
      </c>
      <c r="C9" s="26" t="s">
        <v>86</v>
      </c>
      <c r="D9" s="58" t="s">
        <v>9</v>
      </c>
      <c r="E9" s="59" t="s">
        <v>9</v>
      </c>
      <c r="F9" s="60" t="s">
        <v>26</v>
      </c>
      <c r="G9" s="9">
        <f t="shared" ref="G9:G16" si="0">IF(D9="","",IF(D9="No",0,0.4+IF(E9="Si",0.3,0)+IF(F9="Actualizado",0.3,IF(F9="Desactualizado",0.15,0))))</f>
        <v>0</v>
      </c>
      <c r="H9" s="10" t="s">
        <v>5</v>
      </c>
      <c r="I9" s="11" t="s">
        <v>6</v>
      </c>
      <c r="J9" s="17"/>
      <c r="K9" s="65">
        <f>IF(H9="Detalle:",1,0)</f>
        <v>1</v>
      </c>
      <c r="L9" s="22">
        <f>IF(E9="","",IF(AND(E9="No",F9&lt;&gt;"Inexistente"),1,0))</f>
        <v>0</v>
      </c>
      <c r="M9" s="22"/>
      <c r="N9" s="64" t="s">
        <v>220</v>
      </c>
      <c r="O9" s="66" t="s">
        <v>221</v>
      </c>
      <c r="P9" s="67">
        <f>COUNTIFS(D8:D120, "Si", E8:E120, "Si",F8:F120,"Desactualizado")</f>
        <v>2</v>
      </c>
      <c r="Q9" s="65"/>
      <c r="R9" s="65"/>
      <c r="S9" s="65"/>
    </row>
    <row r="10" spans="1:19" ht="40" customHeight="1" thickBot="1" x14ac:dyDescent="0.4">
      <c r="A10" s="16"/>
      <c r="B10" s="8" t="s">
        <v>87</v>
      </c>
      <c r="C10" s="26" t="s">
        <v>88</v>
      </c>
      <c r="D10" s="58" t="s">
        <v>23</v>
      </c>
      <c r="E10" s="59" t="s">
        <v>9</v>
      </c>
      <c r="F10" s="60" t="s">
        <v>26</v>
      </c>
      <c r="G10" s="9">
        <f t="shared" si="0"/>
        <v>0.4</v>
      </c>
      <c r="H10" s="10" t="s">
        <v>5</v>
      </c>
      <c r="I10" s="11" t="s">
        <v>6</v>
      </c>
      <c r="J10" s="17"/>
      <c r="K10" s="65">
        <f>IF(H10="Detalle:",1,0)</f>
        <v>1</v>
      </c>
      <c r="L10" s="22">
        <f>IF(E10="","",IF(AND(E10="No",F10&lt;&gt;"Inexistente"),1,0))</f>
        <v>0</v>
      </c>
      <c r="M10" s="22"/>
      <c r="N10" s="64" t="s">
        <v>222</v>
      </c>
      <c r="O10" s="66" t="s">
        <v>223</v>
      </c>
      <c r="P10" s="68">
        <f>COUNTIFS(D8:D120, "No", E8:E120, "no") / COUNT(K8:K120)</f>
        <v>0.34090909090909088</v>
      </c>
      <c r="Q10" s="65"/>
      <c r="R10" s="65"/>
      <c r="S10" s="65"/>
    </row>
    <row r="11" spans="1:19" ht="40" customHeight="1" x14ac:dyDescent="0.35">
      <c r="A11" s="16"/>
      <c r="B11" s="8" t="s">
        <v>89</v>
      </c>
      <c r="C11" s="26" t="s">
        <v>90</v>
      </c>
      <c r="D11" s="58" t="s">
        <v>9</v>
      </c>
      <c r="E11" s="59" t="s">
        <v>9</v>
      </c>
      <c r="F11" s="60" t="s">
        <v>26</v>
      </c>
      <c r="G11" s="9">
        <f t="shared" si="0"/>
        <v>0</v>
      </c>
      <c r="H11" s="10" t="s">
        <v>5</v>
      </c>
      <c r="I11" s="11" t="s">
        <v>6</v>
      </c>
      <c r="J11" s="17"/>
      <c r="K11" s="65">
        <f>IF(H11="Detalle:",1,0)</f>
        <v>1</v>
      </c>
      <c r="L11" s="22">
        <f>IF(E11="","",IF(AND(E11="No",F11&lt;&gt;"Inexistente"),1,0))</f>
        <v>0</v>
      </c>
      <c r="M11" s="22"/>
      <c r="N11" s="69"/>
      <c r="O11" s="69"/>
      <c r="P11" s="69"/>
      <c r="Q11" s="65"/>
      <c r="R11" s="65"/>
      <c r="S11" s="65"/>
    </row>
    <row r="12" spans="1:19" ht="40" customHeight="1" x14ac:dyDescent="0.35">
      <c r="A12" s="16"/>
      <c r="B12" s="8" t="s">
        <v>91</v>
      </c>
      <c r="C12" s="26" t="s">
        <v>92</v>
      </c>
      <c r="D12" s="58" t="s">
        <v>9</v>
      </c>
      <c r="E12" s="59" t="s">
        <v>9</v>
      </c>
      <c r="F12" s="60" t="s">
        <v>26</v>
      </c>
      <c r="G12" s="9">
        <f t="shared" si="0"/>
        <v>0</v>
      </c>
      <c r="H12" s="10" t="s">
        <v>5</v>
      </c>
      <c r="I12" s="11" t="s">
        <v>233</v>
      </c>
      <c r="J12" s="17"/>
      <c r="K12" s="65">
        <f>IF(H12="Detalle:",1,0)</f>
        <v>1</v>
      </c>
      <c r="L12" s="22">
        <f>IF(E12="","",IF(AND(E12="No",F12&lt;&gt;"Inexistente"),1,0))</f>
        <v>0</v>
      </c>
      <c r="M12" s="22"/>
      <c r="N12" s="1" t="s">
        <v>224</v>
      </c>
      <c r="O12" s="1" t="s">
        <v>225</v>
      </c>
      <c r="P12" s="1" t="s">
        <v>226</v>
      </c>
      <c r="Q12" s="1" t="s">
        <v>227</v>
      </c>
      <c r="R12" s="1" t="s">
        <v>228</v>
      </c>
      <c r="S12" s="1" t="s">
        <v>229</v>
      </c>
    </row>
    <row r="13" spans="1:19" ht="40" customHeight="1" x14ac:dyDescent="0.35">
      <c r="A13" s="16"/>
      <c r="B13" s="8" t="s">
        <v>93</v>
      </c>
      <c r="C13" s="26" t="s">
        <v>94</v>
      </c>
      <c r="D13" s="58" t="s">
        <v>23</v>
      </c>
      <c r="E13" s="59" t="s">
        <v>9</v>
      </c>
      <c r="F13" s="60" t="s">
        <v>26</v>
      </c>
      <c r="G13" s="9">
        <f t="shared" si="0"/>
        <v>0.4</v>
      </c>
      <c r="H13" s="10" t="s">
        <v>5</v>
      </c>
      <c r="I13" s="11" t="s">
        <v>6</v>
      </c>
      <c r="J13" s="17"/>
      <c r="K13" s="65">
        <f t="shared" ref="K13" si="1">IF(H13="Detalle:",1,0)</f>
        <v>1</v>
      </c>
      <c r="L13" s="22">
        <f t="shared" ref="L13" si="2">IF(E13="","",IF(AND(E13="No",F13&lt;&gt;"Inexistente"),1,0))</f>
        <v>0</v>
      </c>
      <c r="M13" s="22"/>
      <c r="N13" s="70" t="s">
        <v>230</v>
      </c>
      <c r="O13" s="71">
        <f>G99</f>
        <v>0.22031250000000008</v>
      </c>
      <c r="P13" s="70" t="str">
        <f>IF(O13="","",IF(O13&gt;=0.8,"Óptimo",IF(O13&gt;=0.6,"Aceptable","Crítico")))</f>
        <v>Crítico</v>
      </c>
      <c r="Q13" s="72">
        <f>P2</f>
        <v>88</v>
      </c>
      <c r="R13" s="73">
        <f>AVERAGEIF(D8:D120,"SI",G8:G120)</f>
        <v>0.42727272727272742</v>
      </c>
      <c r="S13" s="72">
        <f>COUNTIF(E8:E120,"SI")</f>
        <v>3</v>
      </c>
    </row>
    <row r="14" spans="1:19" ht="40" customHeight="1" x14ac:dyDescent="0.35">
      <c r="A14" s="16"/>
      <c r="B14" s="8" t="s">
        <v>95</v>
      </c>
      <c r="C14" s="26" t="s">
        <v>96</v>
      </c>
      <c r="D14" s="58" t="s">
        <v>9</v>
      </c>
      <c r="E14" s="59" t="s">
        <v>9</v>
      </c>
      <c r="F14" s="60" t="s">
        <v>26</v>
      </c>
      <c r="G14" s="9">
        <f t="shared" si="0"/>
        <v>0</v>
      </c>
      <c r="H14" s="10" t="s">
        <v>5</v>
      </c>
      <c r="I14" s="11" t="s">
        <v>234</v>
      </c>
      <c r="J14" s="17"/>
      <c r="K14" s="65">
        <f t="shared" ref="K14:K77" si="3">IF(H14="Detalle:",1,0)</f>
        <v>1</v>
      </c>
      <c r="L14" s="22">
        <f t="shared" ref="L14:L77" si="4">IF(E14="","",IF(AND(E14="No",F14&lt;&gt;"Inexistente"),1,0))</f>
        <v>0</v>
      </c>
      <c r="M14" s="22"/>
      <c r="N14" s="22"/>
      <c r="O14" s="22"/>
      <c r="P14" s="22"/>
      <c r="Q14" s="22"/>
      <c r="R14" s="22"/>
      <c r="S14" s="22"/>
    </row>
    <row r="15" spans="1:19" ht="40" customHeight="1" x14ac:dyDescent="0.35">
      <c r="A15" s="16"/>
      <c r="B15" s="8" t="s">
        <v>97</v>
      </c>
      <c r="C15" s="26" t="s">
        <v>98</v>
      </c>
      <c r="D15" s="58" t="s">
        <v>9</v>
      </c>
      <c r="E15" s="59" t="s">
        <v>9</v>
      </c>
      <c r="F15" s="60" t="s">
        <v>26</v>
      </c>
      <c r="G15" s="9">
        <f t="shared" si="0"/>
        <v>0</v>
      </c>
      <c r="H15" s="10" t="s">
        <v>5</v>
      </c>
      <c r="I15" s="11" t="s">
        <v>6</v>
      </c>
      <c r="J15" s="17"/>
      <c r="K15" s="65">
        <f t="shared" si="3"/>
        <v>1</v>
      </c>
      <c r="L15" s="22">
        <f t="shared" si="4"/>
        <v>0</v>
      </c>
      <c r="M15" s="22"/>
      <c r="N15" s="22"/>
      <c r="O15" s="22"/>
      <c r="P15" s="22"/>
      <c r="Q15" s="22"/>
      <c r="R15" s="22"/>
      <c r="S15" s="22"/>
    </row>
    <row r="16" spans="1:19" ht="40" customHeight="1" x14ac:dyDescent="0.35">
      <c r="A16" s="16"/>
      <c r="B16" s="8" t="s">
        <v>99</v>
      </c>
      <c r="C16" s="26" t="s">
        <v>232</v>
      </c>
      <c r="D16" s="58" t="s">
        <v>9</v>
      </c>
      <c r="E16" s="59" t="s">
        <v>9</v>
      </c>
      <c r="F16" s="60" t="s">
        <v>26</v>
      </c>
      <c r="G16" s="9">
        <f t="shared" si="0"/>
        <v>0</v>
      </c>
      <c r="H16" s="10" t="s">
        <v>5</v>
      </c>
      <c r="I16" s="11" t="s">
        <v>235</v>
      </c>
      <c r="J16" s="17"/>
      <c r="K16" s="65">
        <f t="shared" si="3"/>
        <v>1</v>
      </c>
      <c r="L16" s="22">
        <f t="shared" si="4"/>
        <v>0</v>
      </c>
    </row>
    <row r="17" spans="1:12" x14ac:dyDescent="0.35">
      <c r="A17" s="16"/>
      <c r="B17" s="12"/>
      <c r="C17" s="27"/>
      <c r="D17" s="12"/>
      <c r="E17" s="12"/>
      <c r="F17" s="12"/>
      <c r="G17" s="12"/>
      <c r="H17" s="12"/>
      <c r="I17" s="12"/>
      <c r="J17" s="17"/>
      <c r="K17" s="65">
        <f t="shared" si="3"/>
        <v>0</v>
      </c>
      <c r="L17" s="22" t="str">
        <f t="shared" si="4"/>
        <v/>
      </c>
    </row>
    <row r="18" spans="1:12" ht="15" customHeight="1" x14ac:dyDescent="0.35">
      <c r="A18" s="16"/>
      <c r="B18" s="75" t="s">
        <v>100</v>
      </c>
      <c r="C18" s="75"/>
      <c r="D18" s="75"/>
      <c r="E18" s="75"/>
      <c r="F18" s="75"/>
      <c r="G18" s="75"/>
      <c r="H18" s="75"/>
      <c r="I18" s="75"/>
      <c r="J18" s="17"/>
      <c r="K18" s="65">
        <f t="shared" si="3"/>
        <v>0</v>
      </c>
      <c r="L18" s="22" t="str">
        <f t="shared" si="4"/>
        <v/>
      </c>
    </row>
    <row r="19" spans="1:12" ht="29" x14ac:dyDescent="0.35">
      <c r="A19" s="16"/>
      <c r="B19" s="6" t="s">
        <v>0</v>
      </c>
      <c r="C19" s="25" t="s">
        <v>51</v>
      </c>
      <c r="D19" s="6" t="s">
        <v>1</v>
      </c>
      <c r="E19" s="6" t="s">
        <v>2</v>
      </c>
      <c r="F19" s="6" t="s">
        <v>3</v>
      </c>
      <c r="G19" s="6" t="s">
        <v>4</v>
      </c>
      <c r="H19" s="74" t="s">
        <v>11</v>
      </c>
      <c r="I19" s="74"/>
      <c r="J19" s="17"/>
      <c r="K19" s="65">
        <f t="shared" si="3"/>
        <v>0</v>
      </c>
      <c r="L19" s="22">
        <f t="shared" si="4"/>
        <v>0</v>
      </c>
    </row>
    <row r="20" spans="1:12" ht="40" customHeight="1" x14ac:dyDescent="0.35">
      <c r="A20" s="16"/>
      <c r="B20" s="8" t="s">
        <v>53</v>
      </c>
      <c r="C20" s="26" t="s">
        <v>54</v>
      </c>
      <c r="D20" s="58" t="s">
        <v>23</v>
      </c>
      <c r="E20" s="59" t="s">
        <v>9</v>
      </c>
      <c r="F20" s="60" t="s">
        <v>26</v>
      </c>
      <c r="G20" s="9">
        <f t="shared" ref="G20:G27" si="5">IF(D20="","",IF(D20="No",0,0.4+IF(E20="Si",0.3,0)+IF(F20="Actualizado",0.3,IF(F20="Desactualizado",0.15,0))))</f>
        <v>0.4</v>
      </c>
      <c r="H20" s="10" t="s">
        <v>5</v>
      </c>
      <c r="I20" s="11" t="s">
        <v>6</v>
      </c>
      <c r="J20" s="17"/>
      <c r="K20" s="65">
        <f t="shared" si="3"/>
        <v>1</v>
      </c>
      <c r="L20" s="22">
        <f t="shared" si="4"/>
        <v>0</v>
      </c>
    </row>
    <row r="21" spans="1:12" ht="40" customHeight="1" x14ac:dyDescent="0.35">
      <c r="A21" s="16"/>
      <c r="B21" s="8" t="s">
        <v>55</v>
      </c>
      <c r="C21" s="26" t="s">
        <v>56</v>
      </c>
      <c r="D21" s="58" t="s">
        <v>23</v>
      </c>
      <c r="E21" s="59" t="s">
        <v>9</v>
      </c>
      <c r="F21" s="60" t="s">
        <v>26</v>
      </c>
      <c r="G21" s="9">
        <f t="shared" si="5"/>
        <v>0.4</v>
      </c>
      <c r="H21" s="10" t="s">
        <v>5</v>
      </c>
      <c r="I21" s="11" t="s">
        <v>6</v>
      </c>
      <c r="J21" s="17"/>
      <c r="K21" s="65">
        <f t="shared" si="3"/>
        <v>1</v>
      </c>
      <c r="L21" s="22">
        <f t="shared" si="4"/>
        <v>0</v>
      </c>
    </row>
    <row r="22" spans="1:12" ht="40" customHeight="1" x14ac:dyDescent="0.35">
      <c r="A22" s="16"/>
      <c r="B22" s="8" t="s">
        <v>57</v>
      </c>
      <c r="C22" s="26" t="s">
        <v>101</v>
      </c>
      <c r="D22" s="58" t="s">
        <v>23</v>
      </c>
      <c r="E22" s="59" t="s">
        <v>9</v>
      </c>
      <c r="F22" s="60" t="s">
        <v>26</v>
      </c>
      <c r="G22" s="9">
        <f t="shared" si="5"/>
        <v>0.4</v>
      </c>
      <c r="H22" s="10" t="s">
        <v>5</v>
      </c>
      <c r="I22" s="11" t="s">
        <v>6</v>
      </c>
      <c r="J22" s="17"/>
      <c r="K22" s="65">
        <f t="shared" si="3"/>
        <v>1</v>
      </c>
      <c r="L22" s="22">
        <f t="shared" si="4"/>
        <v>0</v>
      </c>
    </row>
    <row r="23" spans="1:12" ht="40" customHeight="1" x14ac:dyDescent="0.35">
      <c r="A23" s="16"/>
      <c r="B23" s="8" t="s">
        <v>58</v>
      </c>
      <c r="C23" s="26" t="s">
        <v>59</v>
      </c>
      <c r="D23" s="58" t="s">
        <v>23</v>
      </c>
      <c r="E23" s="59" t="s">
        <v>9</v>
      </c>
      <c r="F23" s="60" t="s">
        <v>26</v>
      </c>
      <c r="G23" s="9">
        <f t="shared" si="5"/>
        <v>0.4</v>
      </c>
      <c r="H23" s="10" t="s">
        <v>5</v>
      </c>
      <c r="I23" s="11" t="s">
        <v>6</v>
      </c>
      <c r="J23" s="17"/>
      <c r="K23" s="65">
        <f t="shared" si="3"/>
        <v>1</v>
      </c>
      <c r="L23" s="22">
        <f t="shared" si="4"/>
        <v>0</v>
      </c>
    </row>
    <row r="24" spans="1:12" ht="40" customHeight="1" x14ac:dyDescent="0.35">
      <c r="A24" s="16"/>
      <c r="B24" s="8" t="s">
        <v>60</v>
      </c>
      <c r="C24" s="26" t="s">
        <v>102</v>
      </c>
      <c r="D24" s="58" t="s">
        <v>23</v>
      </c>
      <c r="E24" s="59" t="s">
        <v>9</v>
      </c>
      <c r="F24" s="60" t="s">
        <v>26</v>
      </c>
      <c r="G24" s="9">
        <f t="shared" si="5"/>
        <v>0.4</v>
      </c>
      <c r="H24" s="10" t="s">
        <v>5</v>
      </c>
      <c r="I24" s="11" t="s">
        <v>6</v>
      </c>
      <c r="J24" s="17"/>
      <c r="K24" s="65">
        <f t="shared" si="3"/>
        <v>1</v>
      </c>
      <c r="L24" s="22">
        <f t="shared" si="4"/>
        <v>0</v>
      </c>
    </row>
    <row r="25" spans="1:12" ht="40" customHeight="1" x14ac:dyDescent="0.35">
      <c r="A25" s="16"/>
      <c r="B25" s="8" t="s">
        <v>61</v>
      </c>
      <c r="C25" s="26" t="s">
        <v>62</v>
      </c>
      <c r="D25" s="58" t="s">
        <v>23</v>
      </c>
      <c r="E25" s="59" t="s">
        <v>9</v>
      </c>
      <c r="F25" s="60" t="s">
        <v>26</v>
      </c>
      <c r="G25" s="9">
        <f t="shared" si="5"/>
        <v>0.4</v>
      </c>
      <c r="H25" s="10" t="s">
        <v>5</v>
      </c>
      <c r="I25" s="11" t="s">
        <v>6</v>
      </c>
      <c r="J25" s="17"/>
      <c r="K25" s="65">
        <f t="shared" si="3"/>
        <v>1</v>
      </c>
      <c r="L25" s="22">
        <f t="shared" si="4"/>
        <v>0</v>
      </c>
    </row>
    <row r="26" spans="1:12" ht="40" customHeight="1" x14ac:dyDescent="0.35">
      <c r="A26" s="16"/>
      <c r="B26" s="8" t="s">
        <v>63</v>
      </c>
      <c r="C26" s="26" t="s">
        <v>103</v>
      </c>
      <c r="D26" s="58" t="s">
        <v>9</v>
      </c>
      <c r="E26" s="59" t="s">
        <v>23</v>
      </c>
      <c r="F26" s="60" t="s">
        <v>25</v>
      </c>
      <c r="G26" s="9">
        <f t="shared" si="5"/>
        <v>0</v>
      </c>
      <c r="H26" s="10" t="s">
        <v>5</v>
      </c>
      <c r="I26" s="11" t="s">
        <v>6</v>
      </c>
      <c r="J26" s="17"/>
      <c r="K26" s="65">
        <f t="shared" si="3"/>
        <v>1</v>
      </c>
      <c r="L26" s="22">
        <f t="shared" si="4"/>
        <v>0</v>
      </c>
    </row>
    <row r="27" spans="1:12" ht="40" customHeight="1" x14ac:dyDescent="0.35">
      <c r="A27" s="16"/>
      <c r="B27" s="8" t="s">
        <v>104</v>
      </c>
      <c r="C27" s="26" t="s">
        <v>105</v>
      </c>
      <c r="D27" s="58" t="s">
        <v>9</v>
      </c>
      <c r="E27" s="59" t="s">
        <v>9</v>
      </c>
      <c r="F27" s="60" t="s">
        <v>26</v>
      </c>
      <c r="G27" s="9">
        <f t="shared" si="5"/>
        <v>0</v>
      </c>
      <c r="H27" s="10" t="s">
        <v>5</v>
      </c>
      <c r="I27" s="11" t="s">
        <v>6</v>
      </c>
      <c r="J27" s="17"/>
      <c r="K27" s="65">
        <f t="shared" si="3"/>
        <v>1</v>
      </c>
      <c r="L27" s="22">
        <f t="shared" si="4"/>
        <v>0</v>
      </c>
    </row>
    <row r="28" spans="1:12" x14ac:dyDescent="0.35">
      <c r="A28" s="16"/>
      <c r="B28" s="12"/>
      <c r="C28" s="27"/>
      <c r="D28" s="12"/>
      <c r="E28" s="12"/>
      <c r="F28" s="12"/>
      <c r="G28" s="12"/>
      <c r="H28" s="12"/>
      <c r="I28" s="12"/>
      <c r="J28" s="17"/>
      <c r="K28" s="65">
        <f t="shared" si="3"/>
        <v>0</v>
      </c>
      <c r="L28" s="22" t="str">
        <f t="shared" si="4"/>
        <v/>
      </c>
    </row>
    <row r="29" spans="1:12" ht="15" customHeight="1" x14ac:dyDescent="0.35">
      <c r="A29" s="16"/>
      <c r="B29" s="75" t="s">
        <v>106</v>
      </c>
      <c r="C29" s="75"/>
      <c r="D29" s="75"/>
      <c r="E29" s="75"/>
      <c r="F29" s="75"/>
      <c r="G29" s="75"/>
      <c r="H29" s="75"/>
      <c r="I29" s="75"/>
      <c r="J29" s="17"/>
      <c r="K29" s="65">
        <f t="shared" si="3"/>
        <v>0</v>
      </c>
      <c r="L29" s="22" t="str">
        <f t="shared" si="4"/>
        <v/>
      </c>
    </row>
    <row r="30" spans="1:12" ht="29" x14ac:dyDescent="0.35">
      <c r="A30" s="16"/>
      <c r="B30" s="6" t="s">
        <v>0</v>
      </c>
      <c r="C30" s="25" t="s">
        <v>51</v>
      </c>
      <c r="D30" s="6" t="s">
        <v>1</v>
      </c>
      <c r="E30" s="6" t="s">
        <v>2</v>
      </c>
      <c r="F30" s="6" t="s">
        <v>3</v>
      </c>
      <c r="G30" s="6" t="s">
        <v>4</v>
      </c>
      <c r="H30" s="74" t="s">
        <v>11</v>
      </c>
      <c r="I30" s="74"/>
      <c r="J30" s="17"/>
      <c r="K30" s="65">
        <f t="shared" si="3"/>
        <v>0</v>
      </c>
      <c r="L30" s="22">
        <f t="shared" si="4"/>
        <v>0</v>
      </c>
    </row>
    <row r="31" spans="1:12" ht="40" customHeight="1" x14ac:dyDescent="0.35">
      <c r="A31" s="16"/>
      <c r="B31" s="8" t="s">
        <v>64</v>
      </c>
      <c r="C31" s="26" t="s">
        <v>107</v>
      </c>
      <c r="D31" s="58" t="s">
        <v>9</v>
      </c>
      <c r="E31" s="59" t="s">
        <v>9</v>
      </c>
      <c r="F31" s="60" t="s">
        <v>26</v>
      </c>
      <c r="G31" s="9">
        <f t="shared" ref="G31:G38" si="6">IF(D31="","",IF(D31="No",0,0.4+IF(E31="Si",0.3,0)+IF(F31="Actualizado",0.3,IF(F31="Desactualizado",0.15,0))))</f>
        <v>0</v>
      </c>
      <c r="H31" s="10" t="s">
        <v>5</v>
      </c>
      <c r="I31" s="11" t="s">
        <v>6</v>
      </c>
      <c r="J31" s="17"/>
      <c r="K31" s="65">
        <f t="shared" si="3"/>
        <v>1</v>
      </c>
      <c r="L31" s="22">
        <f t="shared" si="4"/>
        <v>0</v>
      </c>
    </row>
    <row r="32" spans="1:12" ht="40" customHeight="1" x14ac:dyDescent="0.35">
      <c r="A32" s="16"/>
      <c r="B32" s="8" t="s">
        <v>65</v>
      </c>
      <c r="C32" s="26" t="s">
        <v>67</v>
      </c>
      <c r="D32" s="58" t="s">
        <v>9</v>
      </c>
      <c r="E32" s="59" t="s">
        <v>9</v>
      </c>
      <c r="F32" s="60" t="s">
        <v>26</v>
      </c>
      <c r="G32" s="9">
        <f t="shared" si="6"/>
        <v>0</v>
      </c>
      <c r="H32" s="10" t="s">
        <v>5</v>
      </c>
      <c r="I32" s="11" t="s">
        <v>236</v>
      </c>
      <c r="J32" s="17"/>
      <c r="K32" s="65">
        <f t="shared" si="3"/>
        <v>1</v>
      </c>
      <c r="L32" s="22">
        <f t="shared" si="4"/>
        <v>0</v>
      </c>
    </row>
    <row r="33" spans="1:14" ht="40" customHeight="1" x14ac:dyDescent="0.35">
      <c r="A33" s="16"/>
      <c r="B33" s="8" t="s">
        <v>66</v>
      </c>
      <c r="C33" s="26" t="s">
        <v>81</v>
      </c>
      <c r="D33" s="58" t="s">
        <v>9</v>
      </c>
      <c r="E33" s="59" t="s">
        <v>9</v>
      </c>
      <c r="F33" s="60" t="s">
        <v>26</v>
      </c>
      <c r="G33" s="9">
        <f t="shared" si="6"/>
        <v>0</v>
      </c>
      <c r="H33" s="10" t="s">
        <v>5</v>
      </c>
      <c r="I33" s="11" t="s">
        <v>237</v>
      </c>
      <c r="J33" s="17"/>
      <c r="K33" s="65">
        <f t="shared" si="3"/>
        <v>1</v>
      </c>
      <c r="L33" s="22">
        <f t="shared" si="4"/>
        <v>0</v>
      </c>
    </row>
    <row r="34" spans="1:14" ht="40" customHeight="1" x14ac:dyDescent="0.35">
      <c r="A34" s="16"/>
      <c r="B34" s="8" t="s">
        <v>68</v>
      </c>
      <c r="C34" s="26" t="s">
        <v>108</v>
      </c>
      <c r="D34" s="58" t="s">
        <v>23</v>
      </c>
      <c r="E34" s="59" t="s">
        <v>9</v>
      </c>
      <c r="F34" s="60" t="s">
        <v>26</v>
      </c>
      <c r="G34" s="9">
        <f t="shared" si="6"/>
        <v>0.4</v>
      </c>
      <c r="H34" s="10" t="s">
        <v>5</v>
      </c>
      <c r="I34" s="11" t="s">
        <v>238</v>
      </c>
      <c r="J34" s="17"/>
      <c r="K34" s="65">
        <f t="shared" si="3"/>
        <v>1</v>
      </c>
      <c r="L34" s="22">
        <f t="shared" si="4"/>
        <v>0</v>
      </c>
    </row>
    <row r="35" spans="1:14" ht="40" customHeight="1" x14ac:dyDescent="0.35">
      <c r="A35" s="16"/>
      <c r="B35" s="8" t="s">
        <v>69</v>
      </c>
      <c r="C35" s="26" t="s">
        <v>109</v>
      </c>
      <c r="D35" s="58" t="s">
        <v>9</v>
      </c>
      <c r="E35" s="59" t="s">
        <v>9</v>
      </c>
      <c r="F35" s="60" t="s">
        <v>26</v>
      </c>
      <c r="G35" s="9">
        <f t="shared" si="6"/>
        <v>0</v>
      </c>
      <c r="H35" s="10" t="s">
        <v>5</v>
      </c>
      <c r="I35" s="11" t="s">
        <v>6</v>
      </c>
      <c r="J35" s="17"/>
      <c r="K35" s="65">
        <f t="shared" si="3"/>
        <v>1</v>
      </c>
      <c r="L35" s="22">
        <f t="shared" si="4"/>
        <v>0</v>
      </c>
    </row>
    <row r="36" spans="1:14" ht="40" customHeight="1" x14ac:dyDescent="0.35">
      <c r="A36" s="16"/>
      <c r="B36" s="8" t="s">
        <v>70</v>
      </c>
      <c r="C36" s="26" t="s">
        <v>177</v>
      </c>
      <c r="D36" s="58" t="s">
        <v>9</v>
      </c>
      <c r="E36" s="59" t="s">
        <v>9</v>
      </c>
      <c r="F36" s="60" t="s">
        <v>26</v>
      </c>
      <c r="G36" s="9">
        <f t="shared" si="6"/>
        <v>0</v>
      </c>
      <c r="H36" s="10" t="s">
        <v>5</v>
      </c>
      <c r="I36" s="11" t="s">
        <v>6</v>
      </c>
      <c r="J36" s="17"/>
      <c r="K36" s="65">
        <f t="shared" si="3"/>
        <v>1</v>
      </c>
      <c r="L36" s="22">
        <f t="shared" si="4"/>
        <v>0</v>
      </c>
    </row>
    <row r="37" spans="1:14" ht="40" customHeight="1" x14ac:dyDescent="0.35">
      <c r="A37" s="16"/>
      <c r="B37" s="8" t="s">
        <v>110</v>
      </c>
      <c r="C37" s="26" t="s">
        <v>111</v>
      </c>
      <c r="D37" s="58" t="s">
        <v>23</v>
      </c>
      <c r="E37" s="59" t="s">
        <v>9</v>
      </c>
      <c r="F37" s="60" t="s">
        <v>26</v>
      </c>
      <c r="G37" s="9">
        <f t="shared" si="6"/>
        <v>0.4</v>
      </c>
      <c r="H37" s="10" t="s">
        <v>5</v>
      </c>
      <c r="I37" s="11" t="s">
        <v>6</v>
      </c>
      <c r="J37" s="17"/>
      <c r="K37" s="65">
        <f t="shared" si="3"/>
        <v>1</v>
      </c>
      <c r="L37" s="22">
        <f t="shared" si="4"/>
        <v>0</v>
      </c>
    </row>
    <row r="38" spans="1:14" ht="40" customHeight="1" x14ac:dyDescent="0.35">
      <c r="A38" s="16"/>
      <c r="B38" s="8" t="s">
        <v>112</v>
      </c>
      <c r="C38" s="26" t="s">
        <v>113</v>
      </c>
      <c r="D38" s="58" t="s">
        <v>9</v>
      </c>
      <c r="E38" s="59" t="s">
        <v>9</v>
      </c>
      <c r="F38" s="60" t="s">
        <v>26</v>
      </c>
      <c r="G38" s="9">
        <f t="shared" si="6"/>
        <v>0</v>
      </c>
      <c r="H38" s="10" t="s">
        <v>5</v>
      </c>
      <c r="I38" s="11" t="s">
        <v>6</v>
      </c>
      <c r="J38" s="17"/>
      <c r="K38" s="65">
        <f t="shared" si="3"/>
        <v>1</v>
      </c>
      <c r="L38" s="22">
        <f t="shared" si="4"/>
        <v>0</v>
      </c>
    </row>
    <row r="39" spans="1:14" s="22" customFormat="1" ht="40" customHeight="1" x14ac:dyDescent="0.35">
      <c r="A39" s="16"/>
      <c r="B39" s="8" t="s">
        <v>114</v>
      </c>
      <c r="C39" s="26" t="s">
        <v>115</v>
      </c>
      <c r="D39" s="58" t="s">
        <v>23</v>
      </c>
      <c r="E39" s="59" t="s">
        <v>9</v>
      </c>
      <c r="F39" s="60" t="s">
        <v>26</v>
      </c>
      <c r="G39" s="9">
        <f>IF(D39="","",IF(D39="No",0,0.4+IF(E39="Si",0.3,0)+IF(F39="Actualizado",0.3,IF(F39="Desactualizado",0.15,0))))</f>
        <v>0.4</v>
      </c>
      <c r="H39" s="10" t="s">
        <v>5</v>
      </c>
      <c r="I39" s="11" t="s">
        <v>6</v>
      </c>
      <c r="J39" s="17"/>
      <c r="K39" s="65">
        <f t="shared" si="3"/>
        <v>1</v>
      </c>
      <c r="L39" s="22">
        <f t="shared" si="4"/>
        <v>0</v>
      </c>
      <c r="M39" s="23"/>
      <c r="N39" s="23"/>
    </row>
    <row r="40" spans="1:14" s="22" customFormat="1" ht="40" customHeight="1" x14ac:dyDescent="0.35">
      <c r="A40" s="16"/>
      <c r="B40" s="8" t="s">
        <v>116</v>
      </c>
      <c r="C40" s="26" t="s">
        <v>117</v>
      </c>
      <c r="D40" s="58" t="s">
        <v>23</v>
      </c>
      <c r="E40" s="59" t="s">
        <v>9</v>
      </c>
      <c r="F40" s="60" t="s">
        <v>26</v>
      </c>
      <c r="G40" s="9">
        <f>IF(D40="","",IF(D40="No",0,0.4+IF(E40="Si",0.3,0)+IF(F40="Actualizado",0.3,IF(F40="Desactualizado",0.15,0))))</f>
        <v>0.4</v>
      </c>
      <c r="H40" s="10" t="s">
        <v>5</v>
      </c>
      <c r="I40" s="11" t="s">
        <v>6</v>
      </c>
      <c r="J40" s="17"/>
      <c r="K40" s="65">
        <f t="shared" si="3"/>
        <v>1</v>
      </c>
      <c r="L40" s="22">
        <f t="shared" si="4"/>
        <v>0</v>
      </c>
      <c r="M40" s="23"/>
      <c r="N40" s="23"/>
    </row>
    <row r="41" spans="1:14" x14ac:dyDescent="0.35">
      <c r="A41" s="16"/>
      <c r="B41" s="12"/>
      <c r="C41" s="27"/>
      <c r="D41" s="12"/>
      <c r="E41" s="12"/>
      <c r="F41" s="12"/>
      <c r="G41" s="12"/>
      <c r="H41" s="12"/>
      <c r="I41" s="12"/>
      <c r="J41" s="17"/>
      <c r="K41" s="65">
        <f t="shared" si="3"/>
        <v>0</v>
      </c>
      <c r="L41" s="22" t="str">
        <f t="shared" si="4"/>
        <v/>
      </c>
    </row>
    <row r="42" spans="1:14" ht="15" customHeight="1" x14ac:dyDescent="0.35">
      <c r="A42" s="16"/>
      <c r="B42" s="75" t="s">
        <v>118</v>
      </c>
      <c r="C42" s="75"/>
      <c r="D42" s="75"/>
      <c r="E42" s="75"/>
      <c r="F42" s="75"/>
      <c r="G42" s="75"/>
      <c r="H42" s="75"/>
      <c r="I42" s="75"/>
      <c r="J42" s="17"/>
      <c r="K42" s="65">
        <f t="shared" si="3"/>
        <v>0</v>
      </c>
      <c r="L42" s="22" t="str">
        <f t="shared" si="4"/>
        <v/>
      </c>
    </row>
    <row r="43" spans="1:14" ht="29" x14ac:dyDescent="0.35">
      <c r="A43" s="16"/>
      <c r="B43" s="6" t="s">
        <v>0</v>
      </c>
      <c r="C43" s="25" t="s">
        <v>51</v>
      </c>
      <c r="D43" s="6" t="s">
        <v>1</v>
      </c>
      <c r="E43" s="6" t="s">
        <v>2</v>
      </c>
      <c r="F43" s="6" t="s">
        <v>3</v>
      </c>
      <c r="G43" s="6" t="s">
        <v>4</v>
      </c>
      <c r="H43" s="74" t="s">
        <v>11</v>
      </c>
      <c r="I43" s="74"/>
      <c r="J43" s="17"/>
      <c r="K43" s="65">
        <f t="shared" si="3"/>
        <v>0</v>
      </c>
      <c r="L43" s="22">
        <f t="shared" si="4"/>
        <v>0</v>
      </c>
    </row>
    <row r="44" spans="1:14" ht="40" customHeight="1" x14ac:dyDescent="0.35">
      <c r="A44" s="16"/>
      <c r="B44" s="8" t="s">
        <v>119</v>
      </c>
      <c r="C44" s="26" t="s">
        <v>178</v>
      </c>
      <c r="D44" s="58" t="s">
        <v>9</v>
      </c>
      <c r="E44" s="59" t="s">
        <v>9</v>
      </c>
      <c r="F44" s="60" t="s">
        <v>26</v>
      </c>
      <c r="G44" s="9">
        <f t="shared" ref="G44:G50" si="7">IF(D44="","",IF(D44="No",0,0.4+IF(E44="Si",0.3,0)+IF(F44="Actualizado",0.3,IF(F44="Desactualizado",0.15,0))))</f>
        <v>0</v>
      </c>
      <c r="H44" s="10" t="s">
        <v>5</v>
      </c>
      <c r="I44" s="11" t="s">
        <v>239</v>
      </c>
      <c r="J44" s="17"/>
      <c r="K44" s="65">
        <f t="shared" si="3"/>
        <v>1</v>
      </c>
      <c r="L44" s="22">
        <f t="shared" si="4"/>
        <v>0</v>
      </c>
    </row>
    <row r="45" spans="1:14" ht="40" customHeight="1" x14ac:dyDescent="0.35">
      <c r="A45" s="16"/>
      <c r="B45" s="8" t="s">
        <v>120</v>
      </c>
      <c r="C45" s="26" t="s">
        <v>121</v>
      </c>
      <c r="D45" s="58" t="s">
        <v>23</v>
      </c>
      <c r="E45" s="59" t="s">
        <v>9</v>
      </c>
      <c r="F45" s="60" t="s">
        <v>26</v>
      </c>
      <c r="G45" s="9">
        <f>IF(D45="","",IF(D45="No",0,0.4+IF(E45="Si",0.3,0)+IF(F45="Actualizado",0.3,IF(F45="Desactualizado",0.15,0))))</f>
        <v>0.4</v>
      </c>
      <c r="H45" s="10" t="s">
        <v>5</v>
      </c>
      <c r="I45" s="11" t="s">
        <v>6</v>
      </c>
      <c r="J45" s="17"/>
      <c r="K45" s="65">
        <f t="shared" si="3"/>
        <v>1</v>
      </c>
      <c r="L45" s="22">
        <f t="shared" si="4"/>
        <v>0</v>
      </c>
    </row>
    <row r="46" spans="1:14" s="22" customFormat="1" ht="40" customHeight="1" x14ac:dyDescent="0.35">
      <c r="A46" s="16"/>
      <c r="B46" s="8" t="s">
        <v>122</v>
      </c>
      <c r="C46" s="26" t="s">
        <v>123</v>
      </c>
      <c r="D46" s="58" t="s">
        <v>9</v>
      </c>
      <c r="E46" s="59" t="s">
        <v>9</v>
      </c>
      <c r="F46" s="60" t="s">
        <v>26</v>
      </c>
      <c r="G46" s="9">
        <f>IF(D46="","",IF(D46="No",0,0.4+IF(E46="Si",0.3,0)+IF(F46="Actualizado",0.3,IF(F46="Desactualizado",0.15,0))))</f>
        <v>0</v>
      </c>
      <c r="H46" s="10" t="s">
        <v>5</v>
      </c>
      <c r="I46" s="11" t="s">
        <v>6</v>
      </c>
      <c r="J46" s="17"/>
      <c r="K46" s="65">
        <f t="shared" si="3"/>
        <v>1</v>
      </c>
      <c r="L46" s="22">
        <f t="shared" si="4"/>
        <v>0</v>
      </c>
      <c r="M46" s="23"/>
      <c r="N46" s="23"/>
    </row>
    <row r="47" spans="1:14" s="22" customFormat="1" ht="40" customHeight="1" x14ac:dyDescent="0.35">
      <c r="A47" s="16"/>
      <c r="B47" s="8" t="s">
        <v>124</v>
      </c>
      <c r="C47" s="26" t="s">
        <v>125</v>
      </c>
      <c r="D47" s="58" t="s">
        <v>23</v>
      </c>
      <c r="E47" s="59" t="s">
        <v>9</v>
      </c>
      <c r="F47" s="60" t="s">
        <v>26</v>
      </c>
      <c r="G47" s="9">
        <f>IF(D47="","",IF(D47="No",0,0.4+IF(E47="Si",0.3,0)+IF(F47="Actualizado",0.3,IF(F47="Desactualizado",0.15,0))))</f>
        <v>0.4</v>
      </c>
      <c r="H47" s="10" t="s">
        <v>5</v>
      </c>
      <c r="I47" s="11" t="s">
        <v>6</v>
      </c>
      <c r="J47" s="17"/>
      <c r="K47" s="65">
        <f t="shared" si="3"/>
        <v>1</v>
      </c>
      <c r="L47" s="22">
        <f t="shared" si="4"/>
        <v>0</v>
      </c>
      <c r="M47" s="23"/>
      <c r="N47" s="23"/>
    </row>
    <row r="48" spans="1:14" ht="40" customHeight="1" x14ac:dyDescent="0.35">
      <c r="A48" s="16"/>
      <c r="B48" s="8" t="s">
        <v>126</v>
      </c>
      <c r="C48" s="26" t="s">
        <v>127</v>
      </c>
      <c r="D48" s="58" t="s">
        <v>9</v>
      </c>
      <c r="E48" s="59" t="s">
        <v>9</v>
      </c>
      <c r="F48" s="60" t="s">
        <v>26</v>
      </c>
      <c r="G48" s="9">
        <f>IF(D48="","",IF(D48="No",0,0.4+IF(E48="Si",0.3,0)+IF(F48="Actualizado",0.3,IF(F48="Desactualizado",0.15,0))))</f>
        <v>0</v>
      </c>
      <c r="H48" s="10" t="s">
        <v>5</v>
      </c>
      <c r="I48" s="11" t="s">
        <v>243</v>
      </c>
      <c r="J48" s="17"/>
      <c r="K48" s="65">
        <f t="shared" si="3"/>
        <v>1</v>
      </c>
      <c r="L48" s="22">
        <f t="shared" si="4"/>
        <v>0</v>
      </c>
    </row>
    <row r="49" spans="1:14" ht="40" customHeight="1" x14ac:dyDescent="0.35">
      <c r="A49" s="16"/>
      <c r="B49" s="8" t="s">
        <v>128</v>
      </c>
      <c r="C49" s="26" t="s">
        <v>129</v>
      </c>
      <c r="D49" s="58" t="s">
        <v>9</v>
      </c>
      <c r="E49" s="59" t="s">
        <v>9</v>
      </c>
      <c r="F49" s="60" t="s">
        <v>26</v>
      </c>
      <c r="G49" s="9">
        <f t="shared" si="7"/>
        <v>0</v>
      </c>
      <c r="H49" s="10" t="s">
        <v>5</v>
      </c>
      <c r="I49" s="11" t="s">
        <v>6</v>
      </c>
      <c r="J49" s="17"/>
      <c r="K49" s="65">
        <f t="shared" si="3"/>
        <v>1</v>
      </c>
      <c r="L49" s="22">
        <f t="shared" si="4"/>
        <v>0</v>
      </c>
    </row>
    <row r="50" spans="1:14" s="22" customFormat="1" ht="40" customHeight="1" x14ac:dyDescent="0.35">
      <c r="A50" s="16"/>
      <c r="B50" s="8" t="s">
        <v>130</v>
      </c>
      <c r="C50" s="26" t="s">
        <v>131</v>
      </c>
      <c r="D50" s="58" t="s">
        <v>23</v>
      </c>
      <c r="E50" s="59" t="s">
        <v>9</v>
      </c>
      <c r="F50" s="60" t="s">
        <v>26</v>
      </c>
      <c r="G50" s="9">
        <f t="shared" si="7"/>
        <v>0.4</v>
      </c>
      <c r="H50" s="10" t="s">
        <v>5</v>
      </c>
      <c r="I50" s="11" t="s">
        <v>6</v>
      </c>
      <c r="J50" s="17"/>
      <c r="K50" s="65">
        <f t="shared" si="3"/>
        <v>1</v>
      </c>
      <c r="L50" s="22">
        <f t="shared" si="4"/>
        <v>0</v>
      </c>
      <c r="M50" s="23"/>
      <c r="N50" s="23"/>
    </row>
    <row r="51" spans="1:14" x14ac:dyDescent="0.35">
      <c r="A51" s="16"/>
      <c r="B51" s="12"/>
      <c r="C51" s="27"/>
      <c r="D51" s="12"/>
      <c r="E51" s="12"/>
      <c r="F51" s="12"/>
      <c r="G51" s="12"/>
      <c r="H51" s="12"/>
      <c r="I51" s="12"/>
      <c r="J51" s="17"/>
      <c r="K51" s="65">
        <f t="shared" si="3"/>
        <v>0</v>
      </c>
      <c r="L51" s="22" t="str">
        <f t="shared" si="4"/>
        <v/>
      </c>
    </row>
    <row r="52" spans="1:14" s="22" customFormat="1" ht="15.5" x14ac:dyDescent="0.35">
      <c r="A52" s="16"/>
      <c r="B52" s="75" t="s">
        <v>132</v>
      </c>
      <c r="C52" s="75"/>
      <c r="D52" s="75"/>
      <c r="E52" s="75"/>
      <c r="F52" s="75"/>
      <c r="G52" s="75"/>
      <c r="H52" s="75"/>
      <c r="I52" s="75"/>
      <c r="J52" s="17"/>
      <c r="K52" s="65">
        <f t="shared" si="3"/>
        <v>0</v>
      </c>
      <c r="L52" s="22" t="str">
        <f t="shared" si="4"/>
        <v/>
      </c>
      <c r="M52" s="23"/>
      <c r="N52" s="23"/>
    </row>
    <row r="53" spans="1:14" ht="29" x14ac:dyDescent="0.35">
      <c r="A53" s="16"/>
      <c r="B53" s="6" t="s">
        <v>0</v>
      </c>
      <c r="C53" s="25" t="s">
        <v>51</v>
      </c>
      <c r="D53" s="6" t="s">
        <v>1</v>
      </c>
      <c r="E53" s="6" t="s">
        <v>2</v>
      </c>
      <c r="F53" s="6" t="s">
        <v>3</v>
      </c>
      <c r="G53" s="6" t="s">
        <v>4</v>
      </c>
      <c r="H53" s="74" t="s">
        <v>11</v>
      </c>
      <c r="I53" s="74"/>
      <c r="J53" s="17"/>
      <c r="K53" s="65">
        <f t="shared" si="3"/>
        <v>0</v>
      </c>
      <c r="L53" s="22">
        <f t="shared" si="4"/>
        <v>0</v>
      </c>
    </row>
    <row r="54" spans="1:14" s="22" customFormat="1" ht="40" customHeight="1" x14ac:dyDescent="0.35">
      <c r="A54" s="16"/>
      <c r="B54" s="8" t="s">
        <v>133</v>
      </c>
      <c r="C54" s="26" t="s">
        <v>134</v>
      </c>
      <c r="D54" s="58" t="s">
        <v>9</v>
      </c>
      <c r="E54" s="59" t="s">
        <v>9</v>
      </c>
      <c r="F54" s="60" t="s">
        <v>26</v>
      </c>
      <c r="G54" s="9">
        <f t="shared" ref="G54:G59" si="8">IF(D54="","",IF(D54="No",0,0.4+IF(E54="Si",0.3,0)+IF(F54="Actualizado",0.3,IF(F54="Desactualizado",0.15,0))))</f>
        <v>0</v>
      </c>
      <c r="H54" s="10" t="s">
        <v>5</v>
      </c>
      <c r="I54" s="11" t="s">
        <v>240</v>
      </c>
      <c r="J54" s="17"/>
      <c r="K54" s="65">
        <f t="shared" si="3"/>
        <v>1</v>
      </c>
      <c r="L54" s="22">
        <f t="shared" si="4"/>
        <v>0</v>
      </c>
      <c r="M54" s="23"/>
      <c r="N54" s="23"/>
    </row>
    <row r="55" spans="1:14" s="22" customFormat="1" ht="40" customHeight="1" x14ac:dyDescent="0.35">
      <c r="A55" s="16"/>
      <c r="B55" s="8" t="s">
        <v>135</v>
      </c>
      <c r="C55" s="26" t="s">
        <v>136</v>
      </c>
      <c r="D55" s="58" t="s">
        <v>23</v>
      </c>
      <c r="E55" s="59" t="s">
        <v>9</v>
      </c>
      <c r="F55" s="60" t="s">
        <v>26</v>
      </c>
      <c r="G55" s="9">
        <f t="shared" si="8"/>
        <v>0.4</v>
      </c>
      <c r="H55" s="10" t="s">
        <v>5</v>
      </c>
      <c r="I55" s="11" t="s">
        <v>241</v>
      </c>
      <c r="J55" s="17"/>
      <c r="K55" s="65">
        <f t="shared" si="3"/>
        <v>1</v>
      </c>
      <c r="L55" s="22">
        <f t="shared" si="4"/>
        <v>0</v>
      </c>
      <c r="M55" s="23"/>
      <c r="N55" s="23"/>
    </row>
    <row r="56" spans="1:14" s="22" customFormat="1" ht="40" customHeight="1" x14ac:dyDescent="0.35">
      <c r="A56" s="16"/>
      <c r="B56" s="8" t="s">
        <v>137</v>
      </c>
      <c r="C56" s="26" t="s">
        <v>179</v>
      </c>
      <c r="D56" s="58" t="s">
        <v>9</v>
      </c>
      <c r="E56" s="59" t="s">
        <v>9</v>
      </c>
      <c r="F56" s="60" t="s">
        <v>26</v>
      </c>
      <c r="G56" s="9">
        <f t="shared" si="8"/>
        <v>0</v>
      </c>
      <c r="H56" s="10" t="s">
        <v>5</v>
      </c>
      <c r="I56" s="11" t="s">
        <v>241</v>
      </c>
      <c r="J56" s="17"/>
      <c r="K56" s="65">
        <f t="shared" si="3"/>
        <v>1</v>
      </c>
      <c r="L56" s="22">
        <f t="shared" si="4"/>
        <v>0</v>
      </c>
      <c r="M56" s="23"/>
      <c r="N56" s="23"/>
    </row>
    <row r="57" spans="1:14" s="22" customFormat="1" ht="40" customHeight="1" x14ac:dyDescent="0.35">
      <c r="A57" s="16"/>
      <c r="B57" s="8" t="s">
        <v>138</v>
      </c>
      <c r="C57" s="26" t="s">
        <v>180</v>
      </c>
      <c r="D57" s="58" t="s">
        <v>9</v>
      </c>
      <c r="E57" s="59" t="s">
        <v>9</v>
      </c>
      <c r="F57" s="60" t="s">
        <v>26</v>
      </c>
      <c r="G57" s="9">
        <f t="shared" si="8"/>
        <v>0</v>
      </c>
      <c r="H57" s="10" t="s">
        <v>5</v>
      </c>
      <c r="I57" s="11" t="s">
        <v>6</v>
      </c>
      <c r="J57" s="17"/>
      <c r="K57" s="65">
        <f t="shared" si="3"/>
        <v>1</v>
      </c>
      <c r="L57" s="22">
        <f t="shared" si="4"/>
        <v>0</v>
      </c>
      <c r="M57" s="23"/>
      <c r="N57" s="23"/>
    </row>
    <row r="58" spans="1:14" s="22" customFormat="1" ht="40" customHeight="1" x14ac:dyDescent="0.35">
      <c r="A58" s="16"/>
      <c r="B58" s="8" t="s">
        <v>139</v>
      </c>
      <c r="C58" s="26" t="s">
        <v>181</v>
      </c>
      <c r="D58" s="58" t="s">
        <v>23</v>
      </c>
      <c r="E58" s="59" t="s">
        <v>9</v>
      </c>
      <c r="F58" s="60" t="s">
        <v>26</v>
      </c>
      <c r="G58" s="9">
        <f t="shared" si="8"/>
        <v>0.4</v>
      </c>
      <c r="H58" s="10" t="s">
        <v>5</v>
      </c>
      <c r="I58" s="11" t="s">
        <v>6</v>
      </c>
      <c r="J58" s="17"/>
      <c r="K58" s="65">
        <f t="shared" si="3"/>
        <v>1</v>
      </c>
      <c r="L58" s="22">
        <f t="shared" si="4"/>
        <v>0</v>
      </c>
      <c r="M58" s="23"/>
      <c r="N58" s="23"/>
    </row>
    <row r="59" spans="1:14" s="22" customFormat="1" ht="40" customHeight="1" x14ac:dyDescent="0.35">
      <c r="A59" s="16"/>
      <c r="B59" s="8" t="s">
        <v>140</v>
      </c>
      <c r="C59" s="26" t="s">
        <v>182</v>
      </c>
      <c r="D59" s="58" t="s">
        <v>23</v>
      </c>
      <c r="E59" s="59" t="s">
        <v>9</v>
      </c>
      <c r="F59" s="60" t="s">
        <v>26</v>
      </c>
      <c r="G59" s="9">
        <f t="shared" si="8"/>
        <v>0.4</v>
      </c>
      <c r="H59" s="10" t="s">
        <v>5</v>
      </c>
      <c r="I59" s="11" t="s">
        <v>6</v>
      </c>
      <c r="J59" s="17"/>
      <c r="K59" s="65">
        <f t="shared" si="3"/>
        <v>1</v>
      </c>
      <c r="L59" s="22">
        <f t="shared" si="4"/>
        <v>0</v>
      </c>
      <c r="M59" s="23"/>
      <c r="N59" s="23"/>
    </row>
    <row r="60" spans="1:14" s="22" customFormat="1" x14ac:dyDescent="0.35">
      <c r="A60" s="16"/>
      <c r="B60" s="12"/>
      <c r="C60" s="27"/>
      <c r="D60" s="12"/>
      <c r="E60" s="12"/>
      <c r="F60" s="12"/>
      <c r="G60" s="12"/>
      <c r="H60" s="12"/>
      <c r="I60" s="12"/>
      <c r="J60" s="17"/>
      <c r="K60" s="65">
        <f t="shared" si="3"/>
        <v>0</v>
      </c>
      <c r="L60" s="22" t="str">
        <f t="shared" si="4"/>
        <v/>
      </c>
      <c r="M60" s="23"/>
      <c r="N60" s="23"/>
    </row>
    <row r="61" spans="1:14" ht="15.5" x14ac:dyDescent="0.35">
      <c r="A61" s="16"/>
      <c r="B61" s="75" t="s">
        <v>141</v>
      </c>
      <c r="C61" s="75"/>
      <c r="D61" s="75"/>
      <c r="E61" s="75"/>
      <c r="F61" s="75"/>
      <c r="G61" s="75"/>
      <c r="H61" s="75"/>
      <c r="I61" s="75"/>
      <c r="J61" s="17"/>
      <c r="K61" s="65">
        <f t="shared" si="3"/>
        <v>0</v>
      </c>
      <c r="L61" s="22" t="str">
        <f t="shared" si="4"/>
        <v/>
      </c>
    </row>
    <row r="62" spans="1:14" ht="40" customHeight="1" x14ac:dyDescent="0.35">
      <c r="A62" s="16"/>
      <c r="B62" s="7" t="s">
        <v>0</v>
      </c>
      <c r="C62" s="25" t="s">
        <v>51</v>
      </c>
      <c r="D62" s="7" t="s">
        <v>1</v>
      </c>
      <c r="E62" s="7" t="s">
        <v>2</v>
      </c>
      <c r="F62" s="7" t="s">
        <v>3</v>
      </c>
      <c r="G62" s="7" t="s">
        <v>4</v>
      </c>
      <c r="H62" s="74" t="s">
        <v>11</v>
      </c>
      <c r="I62" s="74"/>
      <c r="J62" s="17"/>
      <c r="K62" s="65">
        <f t="shared" si="3"/>
        <v>0</v>
      </c>
      <c r="L62" s="22">
        <f t="shared" si="4"/>
        <v>0</v>
      </c>
    </row>
    <row r="63" spans="1:14" s="22" customFormat="1" ht="40" customHeight="1" x14ac:dyDescent="0.35">
      <c r="A63" s="16"/>
      <c r="B63" s="8" t="s">
        <v>142</v>
      </c>
      <c r="C63" s="26" t="s">
        <v>143</v>
      </c>
      <c r="D63" s="58" t="s">
        <v>23</v>
      </c>
      <c r="E63" s="59" t="s">
        <v>9</v>
      </c>
      <c r="F63" s="60" t="s">
        <v>26</v>
      </c>
      <c r="G63" s="9">
        <f>IF(D63="","",IF(D63="No",0,0.4+IF(E63="Si",0.3,0)+IF(F63="Actualizado",0.3,IF(F63="Desactualizado",0.15,0))))</f>
        <v>0.4</v>
      </c>
      <c r="H63" s="10" t="s">
        <v>5</v>
      </c>
      <c r="I63" s="11" t="s">
        <v>6</v>
      </c>
      <c r="J63" s="17"/>
      <c r="K63" s="65">
        <f t="shared" si="3"/>
        <v>1</v>
      </c>
      <c r="L63" s="22">
        <f t="shared" si="4"/>
        <v>0</v>
      </c>
      <c r="M63" s="23"/>
      <c r="N63" s="23"/>
    </row>
    <row r="64" spans="1:14" s="22" customFormat="1" ht="40" customHeight="1" x14ac:dyDescent="0.35">
      <c r="A64" s="16"/>
      <c r="B64" s="8" t="s">
        <v>144</v>
      </c>
      <c r="C64" s="26" t="s">
        <v>145</v>
      </c>
      <c r="D64" s="58" t="s">
        <v>9</v>
      </c>
      <c r="E64" s="59" t="s">
        <v>9</v>
      </c>
      <c r="F64" s="60" t="s">
        <v>26</v>
      </c>
      <c r="G64" s="9">
        <f>IF(D64="","",IF(D64="No",0,0.4+IF(E64="Si",0.3,0)+IF(F64="Actualizado",0.3,IF(F64="Desactualizado",0.15,0))))</f>
        <v>0</v>
      </c>
      <c r="H64" s="10" t="s">
        <v>5</v>
      </c>
      <c r="I64" s="11" t="s">
        <v>6</v>
      </c>
      <c r="J64" s="17"/>
      <c r="K64" s="65">
        <f t="shared" si="3"/>
        <v>1</v>
      </c>
      <c r="L64" s="22">
        <f t="shared" si="4"/>
        <v>0</v>
      </c>
      <c r="M64" s="23"/>
      <c r="N64" s="23"/>
    </row>
    <row r="65" spans="1:14" s="22" customFormat="1" ht="40" customHeight="1" x14ac:dyDescent="0.35">
      <c r="A65" s="16"/>
      <c r="B65" s="8" t="s">
        <v>146</v>
      </c>
      <c r="C65" s="26" t="s">
        <v>184</v>
      </c>
      <c r="D65" s="58" t="s">
        <v>23</v>
      </c>
      <c r="E65" s="59" t="s">
        <v>9</v>
      </c>
      <c r="F65" s="60" t="s">
        <v>26</v>
      </c>
      <c r="G65" s="9">
        <f>IF(D65="","",IF(D65="No",0,0.4+IF(E65="Si",0.3,0)+IF(F65="Actualizado",0.3,IF(F65="Desactualizado",0.15,0))))</f>
        <v>0.4</v>
      </c>
      <c r="H65" s="10" t="s">
        <v>5</v>
      </c>
      <c r="I65" s="11" t="s">
        <v>6</v>
      </c>
      <c r="J65" s="17"/>
      <c r="K65" s="65">
        <f t="shared" si="3"/>
        <v>1</v>
      </c>
      <c r="L65" s="22">
        <f t="shared" si="4"/>
        <v>0</v>
      </c>
      <c r="M65" s="23"/>
      <c r="N65" s="23"/>
    </row>
    <row r="66" spans="1:14" s="22" customFormat="1" ht="40" customHeight="1" x14ac:dyDescent="0.35">
      <c r="A66" s="16"/>
      <c r="B66" s="8" t="s">
        <v>147</v>
      </c>
      <c r="C66" s="26" t="s">
        <v>183</v>
      </c>
      <c r="D66" s="58" t="s">
        <v>23</v>
      </c>
      <c r="E66" s="59" t="s">
        <v>9</v>
      </c>
      <c r="F66" s="60" t="s">
        <v>26</v>
      </c>
      <c r="G66" s="9">
        <f>IF(D66="","",IF(D66="No",0,0.4+IF(E66="Si",0.3,0)+IF(F66="Actualizado",0.3,IF(F66="Desactualizado",0.15,0))))</f>
        <v>0.4</v>
      </c>
      <c r="H66" s="10" t="s">
        <v>5</v>
      </c>
      <c r="I66" s="11" t="s">
        <v>6</v>
      </c>
      <c r="J66" s="17"/>
      <c r="K66" s="65">
        <f t="shared" si="3"/>
        <v>1</v>
      </c>
      <c r="L66" s="22">
        <f t="shared" si="4"/>
        <v>0</v>
      </c>
      <c r="M66" s="23"/>
      <c r="N66" s="23"/>
    </row>
    <row r="67" spans="1:14" s="22" customFormat="1" x14ac:dyDescent="0.35">
      <c r="A67" s="16"/>
      <c r="B67" s="12"/>
      <c r="C67" s="27"/>
      <c r="D67" s="12"/>
      <c r="E67" s="12"/>
      <c r="F67" s="12"/>
      <c r="G67" s="12"/>
      <c r="H67" s="12"/>
      <c r="I67" s="12"/>
      <c r="J67" s="17"/>
      <c r="K67" s="65">
        <f t="shared" si="3"/>
        <v>0</v>
      </c>
      <c r="L67" s="22" t="str">
        <f t="shared" si="4"/>
        <v/>
      </c>
      <c r="M67" s="23"/>
      <c r="N67" s="23"/>
    </row>
    <row r="68" spans="1:14" s="22" customFormat="1" ht="15.5" x14ac:dyDescent="0.35">
      <c r="A68" s="16"/>
      <c r="B68" s="75" t="s">
        <v>148</v>
      </c>
      <c r="C68" s="75"/>
      <c r="D68" s="75"/>
      <c r="E68" s="75"/>
      <c r="F68" s="75"/>
      <c r="G68" s="75"/>
      <c r="H68" s="75"/>
      <c r="I68" s="75"/>
      <c r="J68" s="17"/>
      <c r="K68" s="65">
        <f t="shared" si="3"/>
        <v>0</v>
      </c>
      <c r="L68" s="22" t="str">
        <f t="shared" si="4"/>
        <v/>
      </c>
      <c r="M68" s="23"/>
      <c r="N68" s="23"/>
    </row>
    <row r="69" spans="1:14" ht="29" x14ac:dyDescent="0.35">
      <c r="A69" s="16"/>
      <c r="B69" s="6" t="s">
        <v>0</v>
      </c>
      <c r="C69" s="25" t="s">
        <v>51</v>
      </c>
      <c r="D69" s="6" t="s">
        <v>1</v>
      </c>
      <c r="E69" s="6" t="s">
        <v>2</v>
      </c>
      <c r="F69" s="6" t="s">
        <v>3</v>
      </c>
      <c r="G69" s="6" t="s">
        <v>4</v>
      </c>
      <c r="H69" s="74" t="s">
        <v>11</v>
      </c>
      <c r="I69" s="74"/>
      <c r="J69" s="17"/>
      <c r="K69" s="65">
        <f t="shared" si="3"/>
        <v>0</v>
      </c>
      <c r="L69" s="22">
        <f t="shared" si="4"/>
        <v>0</v>
      </c>
    </row>
    <row r="70" spans="1:14" ht="40" customHeight="1" x14ac:dyDescent="0.35">
      <c r="A70" s="16"/>
      <c r="B70" s="8" t="s">
        <v>76</v>
      </c>
      <c r="C70" s="26" t="s">
        <v>149</v>
      </c>
      <c r="D70" s="58" t="s">
        <v>23</v>
      </c>
      <c r="E70" s="59" t="s">
        <v>9</v>
      </c>
      <c r="F70" s="60" t="s">
        <v>26</v>
      </c>
      <c r="G70" s="9">
        <f t="shared" ref="G70:G75" si="9">IF(D70="","",IF(D70="No",0,0.4+IF(E70="Si",0.3,0)+IF(F70="Actualizado",0.3,IF(F70="Desactualizado",0.15,0))))</f>
        <v>0.4</v>
      </c>
      <c r="H70" s="10" t="s">
        <v>5</v>
      </c>
      <c r="I70" s="11" t="s">
        <v>6</v>
      </c>
      <c r="J70" s="17"/>
      <c r="K70" s="65">
        <f t="shared" si="3"/>
        <v>1</v>
      </c>
      <c r="L70" s="22">
        <f t="shared" si="4"/>
        <v>0</v>
      </c>
    </row>
    <row r="71" spans="1:14" ht="40" customHeight="1" x14ac:dyDescent="0.35">
      <c r="A71" s="16"/>
      <c r="B71" s="8" t="s">
        <v>77</v>
      </c>
      <c r="C71" s="26" t="s">
        <v>78</v>
      </c>
      <c r="D71" s="58" t="s">
        <v>23</v>
      </c>
      <c r="E71" s="59" t="s">
        <v>9</v>
      </c>
      <c r="F71" s="60" t="s">
        <v>26</v>
      </c>
      <c r="G71" s="9">
        <f t="shared" si="9"/>
        <v>0.4</v>
      </c>
      <c r="H71" s="10" t="s">
        <v>5</v>
      </c>
      <c r="I71" s="11" t="s">
        <v>6</v>
      </c>
      <c r="J71" s="17"/>
      <c r="K71" s="65">
        <f t="shared" si="3"/>
        <v>1</v>
      </c>
      <c r="L71" s="22">
        <f t="shared" si="4"/>
        <v>0</v>
      </c>
    </row>
    <row r="72" spans="1:14" s="22" customFormat="1" ht="40" customHeight="1" x14ac:dyDescent="0.35">
      <c r="A72" s="16"/>
      <c r="B72" s="8" t="s">
        <v>79</v>
      </c>
      <c r="C72" s="26" t="s">
        <v>150</v>
      </c>
      <c r="D72" s="58" t="s">
        <v>23</v>
      </c>
      <c r="E72" s="59" t="s">
        <v>9</v>
      </c>
      <c r="F72" s="60" t="s">
        <v>26</v>
      </c>
      <c r="G72" s="9">
        <f t="shared" si="9"/>
        <v>0.4</v>
      </c>
      <c r="H72" s="10" t="s">
        <v>5</v>
      </c>
      <c r="I72" s="11" t="s">
        <v>6</v>
      </c>
      <c r="J72" s="17"/>
      <c r="K72" s="65">
        <f t="shared" si="3"/>
        <v>1</v>
      </c>
      <c r="L72" s="22">
        <f t="shared" si="4"/>
        <v>0</v>
      </c>
      <c r="M72" s="23"/>
      <c r="N72" s="23"/>
    </row>
    <row r="73" spans="1:14" s="22" customFormat="1" ht="40" customHeight="1" x14ac:dyDescent="0.35">
      <c r="A73" s="16"/>
      <c r="B73" s="8" t="s">
        <v>80</v>
      </c>
      <c r="C73" s="26" t="s">
        <v>185</v>
      </c>
      <c r="D73" s="58" t="s">
        <v>9</v>
      </c>
      <c r="E73" s="59" t="s">
        <v>9</v>
      </c>
      <c r="F73" s="60" t="s">
        <v>26</v>
      </c>
      <c r="G73" s="9">
        <f t="shared" si="9"/>
        <v>0</v>
      </c>
      <c r="H73" s="10" t="s">
        <v>5</v>
      </c>
      <c r="I73" s="11" t="s">
        <v>6</v>
      </c>
      <c r="J73" s="17"/>
      <c r="K73" s="65">
        <f t="shared" si="3"/>
        <v>1</v>
      </c>
      <c r="L73" s="22">
        <f t="shared" si="4"/>
        <v>0</v>
      </c>
      <c r="M73" s="23"/>
      <c r="N73" s="23"/>
    </row>
    <row r="74" spans="1:14" s="22" customFormat="1" ht="40" customHeight="1" x14ac:dyDescent="0.35">
      <c r="A74" s="16"/>
      <c r="B74" s="8" t="s">
        <v>151</v>
      </c>
      <c r="C74" s="26" t="s">
        <v>152</v>
      </c>
      <c r="D74" s="58" t="s">
        <v>23</v>
      </c>
      <c r="E74" s="59" t="s">
        <v>9</v>
      </c>
      <c r="F74" s="60" t="s">
        <v>26</v>
      </c>
      <c r="G74" s="9">
        <f t="shared" si="9"/>
        <v>0.4</v>
      </c>
      <c r="H74" s="10" t="s">
        <v>5</v>
      </c>
      <c r="I74" s="11" t="s">
        <v>6</v>
      </c>
      <c r="J74" s="17"/>
      <c r="K74" s="65">
        <f t="shared" si="3"/>
        <v>1</v>
      </c>
      <c r="L74" s="22">
        <f t="shared" si="4"/>
        <v>0</v>
      </c>
      <c r="M74" s="23"/>
      <c r="N74" s="23"/>
    </row>
    <row r="75" spans="1:14" s="22" customFormat="1" ht="40" customHeight="1" x14ac:dyDescent="0.35">
      <c r="A75" s="16"/>
      <c r="B75" s="8" t="s">
        <v>153</v>
      </c>
      <c r="C75" s="26" t="s">
        <v>154</v>
      </c>
      <c r="D75" s="58" t="s">
        <v>9</v>
      </c>
      <c r="E75" s="59" t="s">
        <v>9</v>
      </c>
      <c r="F75" s="60" t="s">
        <v>26</v>
      </c>
      <c r="G75" s="9">
        <f t="shared" si="9"/>
        <v>0</v>
      </c>
      <c r="H75" s="10" t="s">
        <v>5</v>
      </c>
      <c r="I75" s="11" t="s">
        <v>6</v>
      </c>
      <c r="J75" s="17"/>
      <c r="K75" s="65">
        <f t="shared" si="3"/>
        <v>1</v>
      </c>
      <c r="L75" s="22">
        <f t="shared" si="4"/>
        <v>0</v>
      </c>
      <c r="M75" s="23"/>
      <c r="N75" s="23"/>
    </row>
    <row r="76" spans="1:14" s="22" customFormat="1" x14ac:dyDescent="0.35">
      <c r="A76" s="16"/>
      <c r="B76" s="12"/>
      <c r="C76" s="27"/>
      <c r="D76" s="12"/>
      <c r="E76" s="12"/>
      <c r="F76" s="12"/>
      <c r="G76" s="12"/>
      <c r="H76" s="12"/>
      <c r="I76" s="12"/>
      <c r="J76" s="17"/>
      <c r="K76" s="65">
        <f t="shared" si="3"/>
        <v>0</v>
      </c>
      <c r="L76" s="22" t="str">
        <f t="shared" si="4"/>
        <v/>
      </c>
      <c r="M76" s="23"/>
      <c r="N76" s="23"/>
    </row>
    <row r="77" spans="1:14" s="22" customFormat="1" ht="40" customHeight="1" x14ac:dyDescent="0.35">
      <c r="A77" s="16"/>
      <c r="B77" s="75" t="s">
        <v>155</v>
      </c>
      <c r="C77" s="75"/>
      <c r="D77" s="75"/>
      <c r="E77" s="75"/>
      <c r="F77" s="75"/>
      <c r="G77" s="75"/>
      <c r="H77" s="75"/>
      <c r="I77" s="75"/>
      <c r="J77" s="17"/>
      <c r="K77" s="65">
        <f t="shared" si="3"/>
        <v>0</v>
      </c>
      <c r="L77" s="22" t="str">
        <f t="shared" si="4"/>
        <v/>
      </c>
      <c r="M77" s="23"/>
      <c r="N77" s="23"/>
    </row>
    <row r="78" spans="1:14" s="22" customFormat="1" ht="40" customHeight="1" x14ac:dyDescent="0.35">
      <c r="A78" s="16"/>
      <c r="B78" s="7" t="s">
        <v>0</v>
      </c>
      <c r="C78" s="25" t="s">
        <v>51</v>
      </c>
      <c r="D78" s="7" t="s">
        <v>1</v>
      </c>
      <c r="E78" s="7" t="s">
        <v>2</v>
      </c>
      <c r="F78" s="7" t="s">
        <v>3</v>
      </c>
      <c r="G78" s="7" t="s">
        <v>4</v>
      </c>
      <c r="H78" s="74" t="s">
        <v>11</v>
      </c>
      <c r="I78" s="74"/>
      <c r="J78" s="17"/>
      <c r="K78" s="65">
        <f t="shared" ref="K78:K95" si="10">IF(H78="Detalle:",1,0)</f>
        <v>0</v>
      </c>
      <c r="L78" s="22">
        <f t="shared" ref="L78:L95" si="11">IF(E78="","",IF(AND(E78="No",F78&lt;&gt;"Inexistente"),1,0))</f>
        <v>0</v>
      </c>
      <c r="M78" s="23"/>
      <c r="N78" s="23"/>
    </row>
    <row r="79" spans="1:14" s="22" customFormat="1" ht="40" customHeight="1" x14ac:dyDescent="0.35">
      <c r="A79" s="16"/>
      <c r="B79" s="8" t="s">
        <v>71</v>
      </c>
      <c r="C79" s="26" t="s">
        <v>156</v>
      </c>
      <c r="D79" s="58" t="s">
        <v>23</v>
      </c>
      <c r="E79" s="59" t="s">
        <v>9</v>
      </c>
      <c r="F79" s="60" t="s">
        <v>26</v>
      </c>
      <c r="G79" s="9">
        <f t="shared" ref="G79:G87" si="12">IF(D79="","",IF(D79="No",0,0.4+IF(E79="Si",0.3,0)+IF(F79="Actualizado",0.3,IF(F79="Desactualizado",0.15,0))))</f>
        <v>0.4</v>
      </c>
      <c r="H79" s="10" t="s">
        <v>5</v>
      </c>
      <c r="I79" s="11" t="s">
        <v>6</v>
      </c>
      <c r="J79" s="17"/>
      <c r="K79" s="65">
        <f t="shared" si="10"/>
        <v>1</v>
      </c>
      <c r="L79" s="22">
        <f t="shared" si="11"/>
        <v>0</v>
      </c>
      <c r="M79" s="23"/>
      <c r="N79" s="23"/>
    </row>
    <row r="80" spans="1:14" s="22" customFormat="1" ht="40" customHeight="1" x14ac:dyDescent="0.35">
      <c r="A80" s="16"/>
      <c r="B80" s="8" t="s">
        <v>72</v>
      </c>
      <c r="C80" s="26" t="s">
        <v>157</v>
      </c>
      <c r="D80" s="58" t="s">
        <v>23</v>
      </c>
      <c r="E80" s="59" t="s">
        <v>9</v>
      </c>
      <c r="F80" s="60" t="s">
        <v>26</v>
      </c>
      <c r="G80" s="9">
        <f t="shared" si="12"/>
        <v>0.4</v>
      </c>
      <c r="H80" s="10" t="s">
        <v>5</v>
      </c>
      <c r="I80" s="11" t="s">
        <v>6</v>
      </c>
      <c r="J80" s="17"/>
      <c r="K80" s="65">
        <f t="shared" si="10"/>
        <v>1</v>
      </c>
      <c r="L80" s="22">
        <f t="shared" si="11"/>
        <v>0</v>
      </c>
      <c r="M80" s="23"/>
      <c r="N80" s="23"/>
    </row>
    <row r="81" spans="1:14" s="22" customFormat="1" ht="40" customHeight="1" x14ac:dyDescent="0.35">
      <c r="A81" s="16"/>
      <c r="B81" s="8" t="s">
        <v>73</v>
      </c>
      <c r="C81" s="26" t="s">
        <v>158</v>
      </c>
      <c r="D81" s="58" t="s">
        <v>23</v>
      </c>
      <c r="E81" s="59" t="s">
        <v>9</v>
      </c>
      <c r="F81" s="60" t="s">
        <v>26</v>
      </c>
      <c r="G81" s="9">
        <f t="shared" si="12"/>
        <v>0.4</v>
      </c>
      <c r="H81" s="10" t="s">
        <v>5</v>
      </c>
      <c r="I81" s="11" t="s">
        <v>6</v>
      </c>
      <c r="J81" s="17"/>
      <c r="K81" s="65">
        <f t="shared" si="10"/>
        <v>1</v>
      </c>
      <c r="L81" s="22">
        <f t="shared" si="11"/>
        <v>0</v>
      </c>
      <c r="M81" s="23"/>
      <c r="N81" s="23"/>
    </row>
    <row r="82" spans="1:14" s="22" customFormat="1" ht="40" customHeight="1" x14ac:dyDescent="0.35">
      <c r="A82" s="16"/>
      <c r="B82" s="8" t="s">
        <v>74</v>
      </c>
      <c r="C82" s="26" t="s">
        <v>186</v>
      </c>
      <c r="D82" s="58" t="s">
        <v>9</v>
      </c>
      <c r="E82" s="59" t="s">
        <v>9</v>
      </c>
      <c r="F82" s="60" t="s">
        <v>26</v>
      </c>
      <c r="G82" s="9">
        <f t="shared" si="12"/>
        <v>0</v>
      </c>
      <c r="H82" s="10" t="s">
        <v>5</v>
      </c>
      <c r="I82" s="11" t="s">
        <v>6</v>
      </c>
      <c r="J82" s="17"/>
      <c r="K82" s="65">
        <f t="shared" si="10"/>
        <v>1</v>
      </c>
      <c r="L82" s="22">
        <f t="shared" si="11"/>
        <v>0</v>
      </c>
      <c r="M82" s="23"/>
      <c r="N82" s="23"/>
    </row>
    <row r="83" spans="1:14" s="22" customFormat="1" ht="40" customHeight="1" x14ac:dyDescent="0.35">
      <c r="A83" s="16"/>
      <c r="B83" s="8" t="s">
        <v>75</v>
      </c>
      <c r="C83" s="26" t="s">
        <v>187</v>
      </c>
      <c r="D83" s="58" t="s">
        <v>9</v>
      </c>
      <c r="E83" s="59" t="s">
        <v>9</v>
      </c>
      <c r="F83" s="60" t="s">
        <v>26</v>
      </c>
      <c r="G83" s="9">
        <f t="shared" si="12"/>
        <v>0</v>
      </c>
      <c r="H83" s="10" t="s">
        <v>5</v>
      </c>
      <c r="I83" s="11" t="s">
        <v>242</v>
      </c>
      <c r="J83" s="17"/>
      <c r="K83" s="65">
        <f t="shared" si="10"/>
        <v>1</v>
      </c>
      <c r="L83" s="22">
        <f t="shared" si="11"/>
        <v>0</v>
      </c>
      <c r="M83" s="23"/>
      <c r="N83" s="23"/>
    </row>
    <row r="84" spans="1:14" s="22" customFormat="1" ht="40" customHeight="1" x14ac:dyDescent="0.35">
      <c r="A84" s="16"/>
      <c r="B84" s="8" t="s">
        <v>159</v>
      </c>
      <c r="C84" s="26" t="s">
        <v>160</v>
      </c>
      <c r="D84" s="58" t="s">
        <v>9</v>
      </c>
      <c r="E84" s="59" t="s">
        <v>9</v>
      </c>
      <c r="F84" s="60" t="s">
        <v>26</v>
      </c>
      <c r="G84" s="9">
        <f t="shared" si="12"/>
        <v>0</v>
      </c>
      <c r="H84" s="10" t="s">
        <v>5</v>
      </c>
      <c r="I84" s="11" t="s">
        <v>6</v>
      </c>
      <c r="J84" s="17"/>
      <c r="K84" s="65">
        <f t="shared" si="10"/>
        <v>1</v>
      </c>
      <c r="L84" s="22">
        <f t="shared" si="11"/>
        <v>0</v>
      </c>
      <c r="M84" s="23"/>
      <c r="N84" s="23"/>
    </row>
    <row r="85" spans="1:14" s="22" customFormat="1" ht="40" customHeight="1" x14ac:dyDescent="0.35">
      <c r="A85" s="16"/>
      <c r="B85" s="8" t="s">
        <v>161</v>
      </c>
      <c r="C85" s="26" t="s">
        <v>162</v>
      </c>
      <c r="D85" s="58" t="s">
        <v>9</v>
      </c>
      <c r="E85" s="59" t="s">
        <v>9</v>
      </c>
      <c r="F85" s="60" t="s">
        <v>26</v>
      </c>
      <c r="G85" s="9">
        <f t="shared" si="12"/>
        <v>0</v>
      </c>
      <c r="H85" s="10" t="s">
        <v>5</v>
      </c>
      <c r="I85" s="11" t="s">
        <v>6</v>
      </c>
      <c r="J85" s="17"/>
      <c r="K85" s="65">
        <f t="shared" si="10"/>
        <v>1</v>
      </c>
      <c r="L85" s="22">
        <f t="shared" si="11"/>
        <v>0</v>
      </c>
      <c r="M85" s="23"/>
      <c r="N85" s="23"/>
    </row>
    <row r="86" spans="1:14" s="22" customFormat="1" ht="40" customHeight="1" x14ac:dyDescent="0.35">
      <c r="A86" s="16"/>
      <c r="B86" s="8" t="s">
        <v>163</v>
      </c>
      <c r="C86" s="26" t="s">
        <v>52</v>
      </c>
      <c r="D86" s="58" t="s">
        <v>23</v>
      </c>
      <c r="E86" s="59" t="s">
        <v>9</v>
      </c>
      <c r="F86" s="60" t="s">
        <v>26</v>
      </c>
      <c r="G86" s="9">
        <f t="shared" si="12"/>
        <v>0.4</v>
      </c>
      <c r="H86" s="10" t="s">
        <v>5</v>
      </c>
      <c r="I86" s="11" t="s">
        <v>6</v>
      </c>
      <c r="J86" s="17"/>
      <c r="K86" s="65">
        <f t="shared" si="10"/>
        <v>1</v>
      </c>
      <c r="L86" s="22">
        <f t="shared" si="11"/>
        <v>0</v>
      </c>
      <c r="M86" s="23"/>
      <c r="N86" s="23"/>
    </row>
    <row r="87" spans="1:14" s="22" customFormat="1" ht="40" customHeight="1" x14ac:dyDescent="0.35">
      <c r="A87" s="16"/>
      <c r="B87" s="8" t="s">
        <v>164</v>
      </c>
      <c r="C87" s="26" t="s">
        <v>165</v>
      </c>
      <c r="D87" s="58" t="s">
        <v>23</v>
      </c>
      <c r="E87" s="59" t="s">
        <v>9</v>
      </c>
      <c r="F87" s="60" t="s">
        <v>26</v>
      </c>
      <c r="G87" s="9">
        <f t="shared" si="12"/>
        <v>0.4</v>
      </c>
      <c r="H87" s="10" t="s">
        <v>5</v>
      </c>
      <c r="I87" s="11" t="s">
        <v>244</v>
      </c>
      <c r="J87" s="17"/>
      <c r="K87" s="65">
        <f t="shared" si="10"/>
        <v>1</v>
      </c>
      <c r="L87" s="22">
        <f t="shared" si="11"/>
        <v>0</v>
      </c>
      <c r="M87" s="23"/>
      <c r="N87" s="23"/>
    </row>
    <row r="88" spans="1:14" s="22" customFormat="1" x14ac:dyDescent="0.35">
      <c r="A88" s="16"/>
      <c r="B88" s="12"/>
      <c r="C88" s="27"/>
      <c r="D88" s="12"/>
      <c r="E88" s="12"/>
      <c r="F88" s="12"/>
      <c r="G88" s="12"/>
      <c r="H88" s="12"/>
      <c r="I88" s="12"/>
      <c r="J88" s="17"/>
      <c r="K88" s="65">
        <f t="shared" si="10"/>
        <v>0</v>
      </c>
      <c r="L88" s="22" t="str">
        <f t="shared" si="11"/>
        <v/>
      </c>
      <c r="M88" s="23"/>
      <c r="N88" s="23"/>
    </row>
    <row r="89" spans="1:14" s="22" customFormat="1" ht="40" customHeight="1" x14ac:dyDescent="0.35">
      <c r="A89" s="16"/>
      <c r="B89" s="75" t="s">
        <v>166</v>
      </c>
      <c r="C89" s="75"/>
      <c r="D89" s="75"/>
      <c r="E89" s="75"/>
      <c r="F89" s="75"/>
      <c r="G89" s="75"/>
      <c r="H89" s="75"/>
      <c r="I89" s="75"/>
      <c r="J89" s="17"/>
      <c r="K89" s="65">
        <f t="shared" si="10"/>
        <v>0</v>
      </c>
      <c r="L89" s="22" t="str">
        <f t="shared" si="11"/>
        <v/>
      </c>
      <c r="M89" s="23"/>
      <c r="N89" s="23"/>
    </row>
    <row r="90" spans="1:14" s="22" customFormat="1" ht="40" customHeight="1" x14ac:dyDescent="0.35">
      <c r="A90" s="16"/>
      <c r="B90" s="7" t="s">
        <v>0</v>
      </c>
      <c r="C90" s="25" t="s">
        <v>51</v>
      </c>
      <c r="D90" s="7" t="s">
        <v>1</v>
      </c>
      <c r="E90" s="7" t="s">
        <v>2</v>
      </c>
      <c r="F90" s="7" t="s">
        <v>3</v>
      </c>
      <c r="G90" s="7" t="s">
        <v>4</v>
      </c>
      <c r="H90" s="74" t="s">
        <v>11</v>
      </c>
      <c r="I90" s="74"/>
      <c r="J90" s="17"/>
      <c r="K90" s="65">
        <f t="shared" si="10"/>
        <v>0</v>
      </c>
      <c r="L90" s="22">
        <f t="shared" si="11"/>
        <v>0</v>
      </c>
      <c r="M90" s="23"/>
      <c r="N90" s="23"/>
    </row>
    <row r="91" spans="1:14" s="22" customFormat="1" ht="40" customHeight="1" x14ac:dyDescent="0.35">
      <c r="A91" s="16"/>
      <c r="B91" s="8" t="s">
        <v>167</v>
      </c>
      <c r="C91" s="26" t="s">
        <v>168</v>
      </c>
      <c r="D91" s="55" t="s">
        <v>23</v>
      </c>
      <c r="E91" s="56" t="s">
        <v>23</v>
      </c>
      <c r="F91" s="57" t="s">
        <v>25</v>
      </c>
      <c r="G91" s="9">
        <f>IF(D91="","",IF(D91="No",0,0.4+IF(E91="Si",0.3,0)+IF(F91="Actualizado",0.3,IF(F91="Desactualizado",0.15,0))))</f>
        <v>0.85</v>
      </c>
      <c r="H91" s="10" t="s">
        <v>5</v>
      </c>
      <c r="I91" s="11" t="s">
        <v>245</v>
      </c>
      <c r="J91" s="17"/>
      <c r="K91" s="65">
        <f t="shared" si="10"/>
        <v>1</v>
      </c>
      <c r="L91" s="22">
        <f t="shared" si="11"/>
        <v>0</v>
      </c>
      <c r="M91" s="23"/>
      <c r="N91" s="23"/>
    </row>
    <row r="92" spans="1:14" s="22" customFormat="1" ht="40" customHeight="1" x14ac:dyDescent="0.35">
      <c r="A92" s="16"/>
      <c r="B92" s="8" t="s">
        <v>169</v>
      </c>
      <c r="C92" s="26" t="s">
        <v>175</v>
      </c>
      <c r="D92" s="58" t="s">
        <v>23</v>
      </c>
      <c r="E92" s="59" t="s">
        <v>9</v>
      </c>
      <c r="F92" s="60" t="s">
        <v>26</v>
      </c>
      <c r="G92" s="9">
        <f>IF(D92="","",IF(D92="No",0,0.4+IF(E92="Si",0.3,0)+IF(F92="Actualizado",0.3,IF(F92="Desactualizado",0.15,0))))</f>
        <v>0.4</v>
      </c>
      <c r="H92" s="10" t="s">
        <v>5</v>
      </c>
      <c r="I92" s="11" t="s">
        <v>6</v>
      </c>
      <c r="J92" s="17"/>
      <c r="K92" s="65">
        <f t="shared" si="10"/>
        <v>1</v>
      </c>
      <c r="L92" s="22">
        <f t="shared" si="11"/>
        <v>0</v>
      </c>
      <c r="M92" s="23"/>
      <c r="N92" s="23"/>
    </row>
    <row r="93" spans="1:14" s="22" customFormat="1" ht="40" customHeight="1" x14ac:dyDescent="0.35">
      <c r="A93" s="16"/>
      <c r="B93" s="8" t="s">
        <v>170</v>
      </c>
      <c r="C93" s="26" t="s">
        <v>176</v>
      </c>
      <c r="D93" s="58" t="s">
        <v>23</v>
      </c>
      <c r="E93" s="59" t="s">
        <v>23</v>
      </c>
      <c r="F93" s="60" t="s">
        <v>25</v>
      </c>
      <c r="G93" s="9">
        <f>IF(D93="","",IF(D93="No",0,0.4+IF(E93="Si",0.3,0)+IF(F93="Actualizado",0.3,IF(F93="Desactualizado",0.15,0))))</f>
        <v>0.85</v>
      </c>
      <c r="H93" s="10" t="s">
        <v>5</v>
      </c>
      <c r="I93" s="11" t="s">
        <v>6</v>
      </c>
      <c r="J93" s="17"/>
      <c r="K93" s="65">
        <f t="shared" si="10"/>
        <v>1</v>
      </c>
      <c r="L93" s="22">
        <f t="shared" si="11"/>
        <v>0</v>
      </c>
      <c r="M93" s="23"/>
      <c r="N93" s="23"/>
    </row>
    <row r="94" spans="1:14" s="22" customFormat="1" ht="40" customHeight="1" x14ac:dyDescent="0.35">
      <c r="A94" s="16"/>
      <c r="B94" s="8" t="s">
        <v>171</v>
      </c>
      <c r="C94" s="26" t="s">
        <v>172</v>
      </c>
      <c r="D94" s="58" t="s">
        <v>9</v>
      </c>
      <c r="E94" s="59" t="s">
        <v>9</v>
      </c>
      <c r="F94" s="60" t="s">
        <v>26</v>
      </c>
      <c r="G94" s="9">
        <f>IF(D94="","",IF(D94="No",0,0.4+IF(E94="Si",0.3,0)+IF(F94="Actualizado",0.3,IF(F94="Desactualizado",0.15,0))))</f>
        <v>0</v>
      </c>
      <c r="H94" s="10" t="s">
        <v>5</v>
      </c>
      <c r="I94" s="11" t="s">
        <v>6</v>
      </c>
      <c r="J94" s="17"/>
      <c r="K94" s="65">
        <f t="shared" si="10"/>
        <v>1</v>
      </c>
      <c r="L94" s="22">
        <f t="shared" si="11"/>
        <v>0</v>
      </c>
      <c r="M94" s="23"/>
      <c r="N94" s="23"/>
    </row>
    <row r="95" spans="1:14" s="22" customFormat="1" ht="40" customHeight="1" x14ac:dyDescent="0.35">
      <c r="A95" s="16"/>
      <c r="B95" s="8" t="s">
        <v>173</v>
      </c>
      <c r="C95" s="26" t="s">
        <v>174</v>
      </c>
      <c r="D95" s="61" t="s">
        <v>9</v>
      </c>
      <c r="E95" s="62" t="s">
        <v>9</v>
      </c>
      <c r="F95" s="63" t="s">
        <v>26</v>
      </c>
      <c r="G95" s="9">
        <f>IF(D95="","",IF(D95="No",0,0.4+IF(E95="Si",0.3,0)+IF(F95="Actualizado",0.3,IF(F95="Desactualizado",0.15,0))))</f>
        <v>0</v>
      </c>
      <c r="H95" s="10" t="s">
        <v>5</v>
      </c>
      <c r="I95" s="11" t="s">
        <v>6</v>
      </c>
      <c r="J95" s="17"/>
      <c r="K95" s="65">
        <f t="shared" si="10"/>
        <v>1</v>
      </c>
      <c r="L95" s="22">
        <f t="shared" si="11"/>
        <v>0</v>
      </c>
      <c r="M95" s="23"/>
      <c r="N95" s="23"/>
    </row>
    <row r="96" spans="1:14" ht="15" thickBot="1" x14ac:dyDescent="0.4">
      <c r="A96" s="18"/>
      <c r="B96" s="20"/>
      <c r="C96" s="28"/>
      <c r="D96" s="20"/>
      <c r="E96" s="20"/>
      <c r="F96" s="20"/>
      <c r="G96" s="20"/>
      <c r="H96" s="20"/>
      <c r="I96" s="20"/>
      <c r="J96" s="19"/>
      <c r="L96" s="22" t="str">
        <f t="shared" ref="L96" si="13">IF(F96="","",IF(AND(E96="No",F96&lt;&gt;"Inexistente"),1,0))</f>
        <v/>
      </c>
    </row>
    <row r="97" spans="1:10" x14ac:dyDescent="0.35">
      <c r="A97" s="29"/>
      <c r="B97" s="30"/>
      <c r="C97" s="31"/>
      <c r="D97" s="30"/>
      <c r="E97" s="30"/>
      <c r="F97" s="30"/>
      <c r="G97" s="30"/>
      <c r="H97" s="30"/>
      <c r="I97" s="30"/>
      <c r="J97" s="32"/>
    </row>
    <row r="98" spans="1:10" x14ac:dyDescent="0.35">
      <c r="A98" s="33"/>
      <c r="B98" s="34"/>
      <c r="C98" s="35"/>
      <c r="D98" s="34"/>
      <c r="E98" s="34"/>
      <c r="F98" s="34"/>
      <c r="G98" s="34"/>
      <c r="H98" s="34"/>
      <c r="I98" s="34"/>
      <c r="J98" s="36"/>
    </row>
    <row r="99" spans="1:10" ht="19" thickBot="1" x14ac:dyDescent="0.4">
      <c r="A99" s="33"/>
      <c r="B99" s="85" t="s">
        <v>49</v>
      </c>
      <c r="C99" s="82"/>
      <c r="D99" s="82"/>
      <c r="E99" s="82"/>
      <c r="F99" s="82"/>
      <c r="G99" s="37">
        <f>IFERROR(AVERAGE(G8:G95),"")</f>
        <v>0.22031250000000008</v>
      </c>
      <c r="H99" s="34"/>
      <c r="I99" s="34"/>
      <c r="J99" s="36"/>
    </row>
    <row r="100" spans="1:10" ht="15" thickTop="1" x14ac:dyDescent="0.35">
      <c r="A100" s="33"/>
      <c r="B100" s="81" t="s">
        <v>50</v>
      </c>
      <c r="C100" s="82"/>
      <c r="D100" s="83" t="str">
        <f>COUNTIF(D8:D95,"si")&amp;"  Conformes / "&amp;COUNTIF(D8:D95,"no")&amp;"  No Conformes"</f>
        <v>33  Conformes / 31  No Conformes</v>
      </c>
      <c r="E100" s="84"/>
      <c r="F100" s="84"/>
      <c r="G100" s="34"/>
      <c r="H100" s="34"/>
      <c r="I100" s="34"/>
      <c r="J100" s="36"/>
    </row>
    <row r="101" spans="1:10" x14ac:dyDescent="0.35">
      <c r="A101" s="38"/>
      <c r="B101" s="81" t="s">
        <v>197</v>
      </c>
      <c r="C101" s="82"/>
      <c r="D101" s="83" t="str">
        <f>COUNTIF(E8:E95,"si")&amp;"  Elaborados / "&amp;COUNTIF(E8:E95,"no")&amp;"  No Elaborados"</f>
        <v>3  Elaborados / 61  No Elaborados</v>
      </c>
      <c r="E101" s="84"/>
      <c r="F101" s="84"/>
      <c r="G101" s="34"/>
      <c r="H101" s="34"/>
      <c r="I101" s="34"/>
      <c r="J101" s="36"/>
    </row>
    <row r="102" spans="1:10" ht="38.25" customHeight="1" x14ac:dyDescent="0.35">
      <c r="A102" s="39"/>
      <c r="B102" s="40"/>
      <c r="C102" s="41"/>
      <c r="D102" s="42"/>
      <c r="E102" s="42"/>
      <c r="F102" s="42"/>
      <c r="G102" s="42"/>
      <c r="H102" s="42"/>
      <c r="I102" s="42"/>
      <c r="J102" s="43"/>
    </row>
    <row r="103" spans="1:10" ht="41.25" customHeight="1" x14ac:dyDescent="0.35">
      <c r="A103" s="39"/>
      <c r="B103" s="40" t="b">
        <v>0</v>
      </c>
      <c r="C103" s="41"/>
      <c r="D103" s="44" t="s">
        <v>198</v>
      </c>
      <c r="E103" s="45" t="s">
        <v>37</v>
      </c>
      <c r="F103" s="44" t="s">
        <v>190</v>
      </c>
      <c r="G103" s="45"/>
      <c r="H103" s="46" t="s">
        <v>189</v>
      </c>
      <c r="I103" s="47">
        <v>46295</v>
      </c>
      <c r="J103" s="43"/>
    </row>
    <row r="104" spans="1:10" ht="41.25" customHeight="1" x14ac:dyDescent="0.35">
      <c r="A104" s="39"/>
      <c r="B104" s="40" t="b">
        <v>0</v>
      </c>
      <c r="C104" s="41"/>
      <c r="D104" s="44" t="s">
        <v>188</v>
      </c>
      <c r="E104" s="45" t="s">
        <v>36</v>
      </c>
      <c r="F104" s="44" t="s">
        <v>191</v>
      </c>
      <c r="G104" s="45"/>
      <c r="H104" s="46" t="s">
        <v>199</v>
      </c>
      <c r="I104" s="47" t="str">
        <f ca="1">IF(B104=FALSE,"",TODAY())</f>
        <v/>
      </c>
      <c r="J104" s="43"/>
    </row>
    <row r="105" spans="1:10" ht="41.25" customHeight="1" x14ac:dyDescent="0.35">
      <c r="A105" s="38"/>
      <c r="B105" s="48" t="b">
        <v>0</v>
      </c>
      <c r="C105" s="49"/>
      <c r="D105" s="44" t="s">
        <v>200</v>
      </c>
      <c r="E105" s="45" t="s">
        <v>193</v>
      </c>
      <c r="F105" s="44" t="s">
        <v>201</v>
      </c>
      <c r="G105" s="45"/>
      <c r="H105" s="46" t="s">
        <v>202</v>
      </c>
      <c r="I105" s="47" t="str">
        <f ca="1">IF(B105=FALSE,"",TODAY())</f>
        <v/>
      </c>
      <c r="J105" s="36"/>
    </row>
    <row r="106" spans="1:10" ht="15" thickBot="1" x14ac:dyDescent="0.4">
      <c r="A106" s="50"/>
      <c r="B106" s="51"/>
      <c r="C106" s="52"/>
      <c r="D106" s="53"/>
      <c r="E106" s="53"/>
      <c r="F106" s="53"/>
      <c r="G106" s="53"/>
      <c r="H106" s="53"/>
      <c r="I106" s="53"/>
      <c r="J106" s="54"/>
    </row>
  </sheetData>
  <mergeCells count="29">
    <mergeCell ref="H53:I53"/>
    <mergeCell ref="B61:I61"/>
    <mergeCell ref="H69:I69"/>
    <mergeCell ref="B77:I77"/>
    <mergeCell ref="H78:I78"/>
    <mergeCell ref="B101:C101"/>
    <mergeCell ref="D101:F101"/>
    <mergeCell ref="H62:I62"/>
    <mergeCell ref="B99:F99"/>
    <mergeCell ref="B100:C100"/>
    <mergeCell ref="D100:F100"/>
    <mergeCell ref="B68:I68"/>
    <mergeCell ref="H90:I90"/>
    <mergeCell ref="B89:I89"/>
    <mergeCell ref="G1:I1"/>
    <mergeCell ref="F2:I2"/>
    <mergeCell ref="F3:I3"/>
    <mergeCell ref="D2:E2"/>
    <mergeCell ref="D1:E1"/>
    <mergeCell ref="D3:E3"/>
    <mergeCell ref="H7:I7"/>
    <mergeCell ref="B6:I6"/>
    <mergeCell ref="B18:I18"/>
    <mergeCell ref="B42:I42"/>
    <mergeCell ref="B52:I52"/>
    <mergeCell ref="H43:I43"/>
    <mergeCell ref="H30:I30"/>
    <mergeCell ref="B29:I29"/>
    <mergeCell ref="H19:I19"/>
  </mergeCells>
  <conditionalFormatting sqref="F91 F93:F95">
    <cfRule type="expression" dxfId="17" priority="25">
      <formula>$L91=1</formula>
    </cfRule>
  </conditionalFormatting>
  <conditionalFormatting sqref="F44:F46 F50">
    <cfRule type="expression" dxfId="12" priority="13">
      <formula>$L44=1</formula>
    </cfRule>
  </conditionalFormatting>
  <conditionalFormatting sqref="F31:F34 F40">
    <cfRule type="expression" dxfId="11" priority="12">
      <formula>$L31=1</formula>
    </cfRule>
  </conditionalFormatting>
  <conditionalFormatting sqref="F26:F27">
    <cfRule type="expression" dxfId="10" priority="11">
      <formula>$L26=1</formula>
    </cfRule>
  </conditionalFormatting>
  <conditionalFormatting sqref="F47:F49">
    <cfRule type="expression" dxfId="8" priority="9">
      <formula>$L47=1</formula>
    </cfRule>
  </conditionalFormatting>
  <conditionalFormatting sqref="F54:F59">
    <cfRule type="expression" dxfId="7" priority="8">
      <formula>$L54=1</formula>
    </cfRule>
  </conditionalFormatting>
  <conditionalFormatting sqref="F63:F66">
    <cfRule type="expression" dxfId="6" priority="7">
      <formula>$L63=1</formula>
    </cfRule>
  </conditionalFormatting>
  <conditionalFormatting sqref="F70:F75">
    <cfRule type="expression" dxfId="5" priority="6">
      <formula>$L70=1</formula>
    </cfRule>
  </conditionalFormatting>
  <conditionalFormatting sqref="F79:F87">
    <cfRule type="expression" dxfId="4" priority="5">
      <formula>$L79=1</formula>
    </cfRule>
  </conditionalFormatting>
  <conditionalFormatting sqref="F92">
    <cfRule type="expression" dxfId="3" priority="4">
      <formula>$L92=1</formula>
    </cfRule>
  </conditionalFormatting>
  <conditionalFormatting sqref="F20:F25">
    <cfRule type="expression" dxfId="2" priority="3">
      <formula>$L20=1</formula>
    </cfRule>
  </conditionalFormatting>
  <conditionalFormatting sqref="F8:F16">
    <cfRule type="expression" dxfId="1" priority="2">
      <formula>$L8=1</formula>
    </cfRule>
  </conditionalFormatting>
  <conditionalFormatting sqref="F35:F39">
    <cfRule type="expression" dxfId="0" priority="1">
      <formula>$L35=1</formula>
    </cfRule>
  </conditionalFormatting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3" r:id="rId4" name="Check Box 19">
              <controlPr defaultSize="0" autoFill="0" autoLine="0" autoPict="0">
                <anchor moveWithCells="1">
                  <from>
                    <xdr:col>6</xdr:col>
                    <xdr:colOff>419100</xdr:colOff>
                    <xdr:row>102</xdr:row>
                    <xdr:rowOff>165100</xdr:rowOff>
                  </from>
                  <to>
                    <xdr:col>6</xdr:col>
                    <xdr:colOff>603250</xdr:colOff>
                    <xdr:row>102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5" name="Check Box 20">
              <controlPr defaultSize="0" autoFill="0" autoLine="0" autoPict="0">
                <anchor moveWithCells="1">
                  <from>
                    <xdr:col>6</xdr:col>
                    <xdr:colOff>419100</xdr:colOff>
                    <xdr:row>103</xdr:row>
                    <xdr:rowOff>184150</xdr:rowOff>
                  </from>
                  <to>
                    <xdr:col>6</xdr:col>
                    <xdr:colOff>603250</xdr:colOff>
                    <xdr:row>103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6" name="Check Box 21">
              <controlPr defaultSize="0" autoFill="0" autoLine="0" autoPict="0">
                <anchor moveWithCells="1">
                  <from>
                    <xdr:col>6</xdr:col>
                    <xdr:colOff>419100</xdr:colOff>
                    <xdr:row>104</xdr:row>
                    <xdr:rowOff>209550</xdr:rowOff>
                  </from>
                  <to>
                    <xdr:col>6</xdr:col>
                    <xdr:colOff>603250</xdr:colOff>
                    <xdr:row>104</xdr:row>
                    <xdr:rowOff>381000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Datos!$A$15:$A$16</xm:f>
          </x14:formula1>
          <xm:sqref>D91:E95 D44:E50 D8:E16 D70:E77 D54:E59 D20:E27 D79:E89 D63:E66 D31:E40</xm:sqref>
        </x14:dataValidation>
        <x14:dataValidation type="list" allowBlank="1">
          <x14:formula1>
            <xm:f>Datos!$B$15:$B$17</xm:f>
          </x14:formula1>
          <xm:sqref>F8:F16 F70:F77 F91:F95 F44:F50 F54:F59 F20:F27 F79:F89 F63:F66 F31:F40</xm:sqref>
        </x14:dataValidation>
        <x14:dataValidation type="list" allowBlank="1" showInputMessage="1" showErrorMessage="1">
          <x14:formula1>
            <xm:f>Datos!$B$3:$B$11</xm:f>
          </x14:formula1>
          <xm:sqref>G1</xm:sqref>
        </x14:dataValidation>
        <x14:dataValidation type="list" allowBlank="1" showInputMessage="1" showErrorMessage="1">
          <x14:formula1>
            <xm:f>Datos!$D$3:$D$11</xm:f>
          </x14:formula1>
          <xm:sqref>E103:E104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C14" sqref="C14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86" t="s">
        <v>21</v>
      </c>
      <c r="B1" s="87"/>
      <c r="C1" s="87"/>
    </row>
    <row r="2" spans="1:4" x14ac:dyDescent="0.35">
      <c r="A2" s="3" t="s">
        <v>0</v>
      </c>
      <c r="B2" s="1" t="s">
        <v>13</v>
      </c>
      <c r="C2" s="1" t="s">
        <v>47</v>
      </c>
      <c r="D2" s="1" t="s">
        <v>12</v>
      </c>
    </row>
    <row r="3" spans="1:4" x14ac:dyDescent="0.35">
      <c r="A3" s="4">
        <v>1</v>
      </c>
      <c r="B3" s="2" t="s">
        <v>18</v>
      </c>
      <c r="C3" s="2" t="s">
        <v>28</v>
      </c>
      <c r="D3" s="5" t="s">
        <v>231</v>
      </c>
    </row>
    <row r="4" spans="1:4" x14ac:dyDescent="0.35">
      <c r="A4" s="4">
        <v>2</v>
      </c>
      <c r="B4" s="2" t="s">
        <v>19</v>
      </c>
      <c r="C4" s="2" t="s">
        <v>29</v>
      </c>
      <c r="D4" s="5" t="s">
        <v>231</v>
      </c>
    </row>
    <row r="5" spans="1:4" x14ac:dyDescent="0.35">
      <c r="A5" s="4">
        <v>3</v>
      </c>
      <c r="B5" s="2" t="s">
        <v>20</v>
      </c>
      <c r="C5" s="2" t="s">
        <v>30</v>
      </c>
      <c r="D5" s="5" t="s">
        <v>231</v>
      </c>
    </row>
    <row r="6" spans="1:4" x14ac:dyDescent="0.35">
      <c r="A6" s="4">
        <v>4</v>
      </c>
      <c r="B6" s="2" t="s">
        <v>15</v>
      </c>
      <c r="C6" s="2" t="s">
        <v>31</v>
      </c>
      <c r="D6" s="5" t="s">
        <v>37</v>
      </c>
    </row>
    <row r="7" spans="1:4" x14ac:dyDescent="0.35">
      <c r="A7" s="4">
        <v>5</v>
      </c>
      <c r="B7" s="2" t="s">
        <v>16</v>
      </c>
      <c r="C7" s="2" t="s">
        <v>32</v>
      </c>
      <c r="D7" s="5" t="s">
        <v>38</v>
      </c>
    </row>
    <row r="8" spans="1:4" x14ac:dyDescent="0.35">
      <c r="A8" s="4">
        <v>6</v>
      </c>
      <c r="B8" s="2" t="s">
        <v>17</v>
      </c>
      <c r="C8" s="2" t="s">
        <v>33</v>
      </c>
      <c r="D8" s="5" t="s">
        <v>39</v>
      </c>
    </row>
    <row r="9" spans="1:4" x14ac:dyDescent="0.35">
      <c r="A9" s="4">
        <v>7</v>
      </c>
      <c r="B9" s="2" t="s">
        <v>14</v>
      </c>
      <c r="C9" s="2" t="s">
        <v>34</v>
      </c>
      <c r="D9" s="5" t="s">
        <v>40</v>
      </c>
    </row>
    <row r="10" spans="1:4" x14ac:dyDescent="0.35">
      <c r="A10" s="4">
        <v>8</v>
      </c>
      <c r="B10" s="2" t="s">
        <v>41</v>
      </c>
      <c r="C10" s="2" t="s">
        <v>41</v>
      </c>
      <c r="D10" s="5" t="s">
        <v>27</v>
      </c>
    </row>
    <row r="11" spans="1:4" x14ac:dyDescent="0.35">
      <c r="A11" s="4">
        <v>9</v>
      </c>
      <c r="B11" s="2" t="s">
        <v>35</v>
      </c>
      <c r="C11" s="2" t="s">
        <v>35</v>
      </c>
      <c r="D11" s="5" t="s">
        <v>36</v>
      </c>
    </row>
    <row r="14" spans="1:4" x14ac:dyDescent="0.35">
      <c r="A14" s="3" t="s">
        <v>22</v>
      </c>
      <c r="B14" s="1" t="s">
        <v>42</v>
      </c>
    </row>
    <row r="15" spans="1:4" x14ac:dyDescent="0.35">
      <c r="A15" s="4" t="s">
        <v>23</v>
      </c>
      <c r="B15" s="2" t="s">
        <v>24</v>
      </c>
    </row>
    <row r="16" spans="1:4" x14ac:dyDescent="0.35">
      <c r="A16" s="4" t="s">
        <v>9</v>
      </c>
      <c r="B16" s="2" t="s">
        <v>25</v>
      </c>
    </row>
    <row r="17" spans="1:4" x14ac:dyDescent="0.35">
      <c r="A17" s="4"/>
      <c r="B17" s="2" t="s">
        <v>26</v>
      </c>
    </row>
    <row r="22" spans="1:4" x14ac:dyDescent="0.35">
      <c r="C22" s="2" t="s">
        <v>192</v>
      </c>
      <c r="D22" s="5" t="s">
        <v>193</v>
      </c>
    </row>
    <row r="23" spans="1:4" x14ac:dyDescent="0.35">
      <c r="C23" s="2" t="s">
        <v>194</v>
      </c>
      <c r="D23" s="5" t="s">
        <v>195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Servidores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2026-10-01T13:09:45Z</dcterms:modified>
</cp:coreProperties>
</file>