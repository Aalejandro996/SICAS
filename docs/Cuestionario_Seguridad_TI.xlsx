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rgomez\Desktop\Auditoria TI 2026\Levantamiento Información\Ciberseguridad\"/>
    </mc:Choice>
  </mc:AlternateContent>
  <bookViews>
    <workbookView xWindow="0" yWindow="0" windowWidth="14380" windowHeight="4200"/>
  </bookViews>
  <sheets>
    <sheet name="Seguridad_de_TI" sheetId="1" r:id="rId1"/>
    <sheet name="Datos" sheetId="3" r:id="rId2"/>
    <sheet name="DATA" sheetId="2" state="hidden" r:id="rId3"/>
  </sheets>
  <externalReferences>
    <externalReference r:id="rId4"/>
  </externalReferences>
  <definedNames>
    <definedName name="_xlnm._FilterDatabase" localSheetId="0" hidden="1">Seguridad_de_TI!$B$7:$I$86</definedName>
  </definedNames>
  <calcPr calcId="162913" iterate="1"/>
</workbook>
</file>

<file path=xl/calcChain.xml><?xml version="1.0" encoding="utf-8"?>
<calcChain xmlns="http://schemas.openxmlformats.org/spreadsheetml/2006/main">
  <c r="K8" i="1" l="1"/>
  <c r="P2" i="1"/>
  <c r="Q13" i="1" s="1"/>
  <c r="S13" i="1"/>
  <c r="P10" i="1"/>
  <c r="P9" i="1"/>
  <c r="P8" i="1"/>
  <c r="P6" i="1"/>
  <c r="P5" i="1"/>
  <c r="P4" i="1"/>
  <c r="P3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D91" i="1" l="1"/>
  <c r="D90" i="1"/>
  <c r="I94" i="1"/>
  <c r="G85" i="1" l="1"/>
  <c r="G84" i="1"/>
  <c r="G83" i="1"/>
  <c r="G82" i="1"/>
  <c r="G81" i="1"/>
  <c r="G80" i="1"/>
  <c r="G79" i="1"/>
  <c r="G75" i="1"/>
  <c r="G74" i="1"/>
  <c r="G73" i="1"/>
  <c r="G72" i="1"/>
  <c r="G71" i="1"/>
  <c r="G70" i="1"/>
  <c r="G69" i="1"/>
  <c r="G68" i="1"/>
  <c r="G64" i="1"/>
  <c r="G63" i="1"/>
  <c r="G62" i="1"/>
  <c r="G61" i="1"/>
  <c r="G60" i="1"/>
  <c r="G55" i="1"/>
  <c r="G54" i="1"/>
  <c r="G53" i="1"/>
  <c r="G52" i="1"/>
  <c r="G51" i="1"/>
  <c r="G50" i="1"/>
  <c r="G49" i="1"/>
  <c r="G48" i="1"/>
  <c r="G47" i="1"/>
  <c r="G46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18" i="1"/>
  <c r="G17" i="1"/>
  <c r="G16" i="1"/>
  <c r="G15" i="1"/>
  <c r="G14" i="1"/>
  <c r="G13" i="1"/>
  <c r="G12" i="1"/>
  <c r="G11" i="1"/>
  <c r="G10" i="1"/>
  <c r="G9" i="1"/>
  <c r="L86" i="1" l="1"/>
  <c r="L8" i="1"/>
  <c r="G56" i="1" l="1"/>
  <c r="G45" i="1"/>
  <c r="G21" i="1"/>
  <c r="G20" i="1"/>
  <c r="G19" i="1"/>
  <c r="G8" i="1"/>
  <c r="R13" i="1" s="1"/>
  <c r="P7" i="1" l="1"/>
  <c r="G89" i="1"/>
  <c r="O13" i="1" s="1"/>
  <c r="P13" i="1" l="1"/>
</calcChain>
</file>

<file path=xl/sharedStrings.xml><?xml version="1.0" encoding="utf-8"?>
<sst xmlns="http://schemas.openxmlformats.org/spreadsheetml/2006/main" count="586" uniqueCount="231">
  <si>
    <t>1. Administración de seguridad</t>
  </si>
  <si>
    <t>ID</t>
  </si>
  <si>
    <t>Existencia del Control</t>
  </si>
  <si>
    <t>Soporte Documental</t>
  </si>
  <si>
    <t>Evidencia / Entregable</t>
  </si>
  <si>
    <t>Puntuación (%)</t>
  </si>
  <si>
    <t>Detalle:</t>
  </si>
  <si>
    <t>(Indique la justificación, evidencia o plan de acción si aplica...)</t>
  </si>
  <si>
    <t>2. Gestión de las actividades de seguridad</t>
  </si>
  <si>
    <t>3. Seguridad de la red</t>
  </si>
  <si>
    <t>4. Seguridad física</t>
  </si>
  <si>
    <t>5. Seguridad de los datos</t>
  </si>
  <si>
    <t>6. Seguridad del sistema operativo</t>
  </si>
  <si>
    <t>Respuestas</t>
  </si>
  <si>
    <t>Sí</t>
  </si>
  <si>
    <t>No</t>
  </si>
  <si>
    <t>Parcialmente</t>
  </si>
  <si>
    <t>Observaciones</t>
  </si>
  <si>
    <t>Responsable</t>
  </si>
  <si>
    <t>(Indique Nombre del Responsable...)</t>
  </si>
  <si>
    <t>Departamento a Auditar</t>
  </si>
  <si>
    <t>CIBERSEGURIDAD</t>
  </si>
  <si>
    <t>SERVIDORES Y BASE DE DATOS</t>
  </si>
  <si>
    <t>REDES Y TELECOM.</t>
  </si>
  <si>
    <t>MICROINFORMÁTICA</t>
  </si>
  <si>
    <t>SISTEMAS</t>
  </si>
  <si>
    <t>PRUEBAS Y CERTIFICACIONES</t>
  </si>
  <si>
    <t>SISTEMA EMPRESAS</t>
  </si>
  <si>
    <t>Listado de Responsables</t>
  </si>
  <si>
    <t>Pregunta de Auditoría</t>
  </si>
  <si>
    <t xml:space="preserve">Pregunta de Auditoría </t>
  </si>
  <si>
    <t>Resp</t>
  </si>
  <si>
    <t>Si</t>
  </si>
  <si>
    <t>Actualizado</t>
  </si>
  <si>
    <t>Desactualizado</t>
  </si>
  <si>
    <t>Inexistente</t>
  </si>
  <si>
    <t>Carla de Oliveira</t>
  </si>
  <si>
    <t>JEFE SISTEMAS</t>
  </si>
  <si>
    <t>JEFE DE PRUEBAS Y CERTIFICACIONES</t>
  </si>
  <si>
    <t>JEFE DE SISTEMA EMPRESAS</t>
  </si>
  <si>
    <t>JEFE DE SERVIDORES Y BASE DE DATOS</t>
  </si>
  <si>
    <t>JEFE DE REDES Y TELECOM.</t>
  </si>
  <si>
    <t>JEFE DE MICROINFORMÁTICA</t>
  </si>
  <si>
    <t>JEFE DE CIBERSEGURIDAD</t>
  </si>
  <si>
    <t>VICE PRESIDENCIA TI</t>
  </si>
  <si>
    <t>Edgar Rodríguez</t>
  </si>
  <si>
    <t>Juan Mercado</t>
  </si>
  <si>
    <t>Angel Aparicio</t>
  </si>
  <si>
    <t>Moises Ramirez</t>
  </si>
  <si>
    <t>Angel Yánez</t>
  </si>
  <si>
    <t>GERENTE DE SISTEMAS</t>
  </si>
  <si>
    <t>Confirmación</t>
  </si>
  <si>
    <t>Titulo Control</t>
  </si>
  <si>
    <t>Descripcio del Control:</t>
  </si>
  <si>
    <t>ID Control:</t>
  </si>
  <si>
    <t xml:space="preserve">Cuestionario </t>
  </si>
  <si>
    <t>Cargos</t>
  </si>
  <si>
    <t>Herramienta estructurada para evaluar y ponderar el cumplimiento de controles de seguridad de TI.</t>
  </si>
  <si>
    <t>16.1</t>
  </si>
  <si>
    <t>¿Existen guías de endurecimiento (hardening baseline) documentadas y aplicadas para la configuración inicial de los sistemas operativos?</t>
  </si>
  <si>
    <t>16.2</t>
  </si>
  <si>
    <t>¿Se gestionan los cambios en los parámetros globales de seguridad del SO mediante el proceso formal de Control de Cambios?</t>
  </si>
  <si>
    <t>16.3</t>
  </si>
  <si>
    <t>¿Se realiza una revisión periódica de los servicios, puertos y protocolos habilitados en el SO para deshabilitar aquellos que no sean requeridos?</t>
  </si>
  <si>
    <t>16.4</t>
  </si>
  <si>
    <t>¿Se emplean herramientas de gestión centralizada de configuraciones para garantizar la homogeneidad y coherencia del hardening en todos los servidores?</t>
  </si>
  <si>
    <t>17.1</t>
  </si>
  <si>
    <t>¿Se ejecutan revisiones periódicas programadas de los usuarios y grupos locales/dominio con acceso a los sistemas operativos?</t>
  </si>
  <si>
    <t>17.2</t>
  </si>
  <si>
    <t>¿Se valida que las cuentas activas en el sistema operativo correspondan a personal vigente y con requerimiento de negocio justificable?</t>
  </si>
  <si>
    <t>17.3</t>
  </si>
  <si>
    <t>¿Se verifica la inmediata inhabilitación o eliminación de cuentas locales y de servicio no utilizadas o inactivas en los sistemas operativos?</t>
  </si>
  <si>
    <t>14.1</t>
  </si>
  <si>
    <t>¿Se tiene un inventario actualizado de todos los canales, herramientas y utilidades que permiten el acceso directo a las bases de datos?</t>
  </si>
  <si>
    <t>14.2</t>
  </si>
  <si>
    <t>¿Está restringido el uso de herramientas de consulta directa a bases de datos (ej. DBeaver, SQL Developer) solo a personal autorizado?</t>
  </si>
  <si>
    <t>14.3</t>
  </si>
  <si>
    <t>¿Se realiza auditoría y registro de logs de las consultas y ejecuciones directas realizadas sobre los datos fuera de la aplicación?</t>
  </si>
  <si>
    <t>14.4</t>
  </si>
  <si>
    <t>¿Están protegidos y encriptados los scripts y tareas automatizadas que interactúan directamente con la base de datos?</t>
  </si>
  <si>
    <t>15.1</t>
  </si>
  <si>
    <t>¿Está restringido el acceso con privilegios elevados (ej. DBA, sysadmin) en los motores de bases de datos únicamente al personal estrictamente requerido?</t>
  </si>
  <si>
    <t>15.2</t>
  </si>
  <si>
    <t>¿Está restringido el uso de cuentas de superusuario/administrador (ej. root, Administrator) en los servidores de archivos e infraestructura?</t>
  </si>
  <si>
    <t>15.3</t>
  </si>
  <si>
    <t>¿Se utiliza una solución de Gestión de Accesos Privilegiados (PAM) o bóveda de claves para controlar y monitorear el uso de credenciales de alta jerarquía?</t>
  </si>
  <si>
    <t>15.4</t>
  </si>
  <si>
    <t>¿Se registran en bitácoras inalterables todas las acciones ejecutadas con comandos administrativos en bases de datos y servidores de archivos?</t>
  </si>
  <si>
    <t>13.1</t>
  </si>
  <si>
    <t>¿Se encuentra restringido el ingreso al centro de datos / sala de servidores únicamente al personal autorizado mediante controles biométricos o tarjetas de proximidad?</t>
  </si>
  <si>
    <t>13.2</t>
  </si>
  <si>
    <t>¿El acceso físico a los gabinetes o salas de telecomunicaciones (racks/IDFs) se mantiene bajo llave y con control de acceso individualizado?</t>
  </si>
  <si>
    <t>13.3</t>
  </si>
  <si>
    <t>¿Existe un sistema de videovigilancia (CCTV) que monitoree de manera continua las entradas y áreas críticas de los centros de cómputo?</t>
  </si>
  <si>
    <t>13.4</t>
  </si>
  <si>
    <t>¿Se registra formalmente el ingreso y salida de visitantes, proveedores o personal externo a las áreas de procesamiento de datos?</t>
  </si>
  <si>
    <t>13.5</t>
  </si>
  <si>
    <t>¿Se conservan y revisan periódicamente las bitácoras de acceso físico y las grabaciones del sistema CCTV?</t>
  </si>
  <si>
    <t>10.1</t>
  </si>
  <si>
    <t>¿Está centralizada la autenticación y gestión de usuarios de red mediante un servicio de directorio seguro (ej. Active Directory, LDAP, RADIUS/TACACS+)?</t>
  </si>
  <si>
    <t>10.2</t>
  </si>
  <si>
    <t>¿Se requiere autenticación multifactor (MFA) obligatoria para el acceso remoto a la red corporativa a través de VPN?</t>
  </si>
  <si>
    <t>10.3</t>
  </si>
  <si>
    <t>¿Se encuentran segmentados los grupos de usuarios y sus niveles de acceso dentro de la arquitectura de la red?</t>
  </si>
  <si>
    <t>10.4</t>
  </si>
  <si>
    <t>¿Están configuradas políticas de complejidad, expiración y longitud mínima de contraseñas para el acceso a los equipos de red?</t>
  </si>
  <si>
    <t>11.1</t>
  </si>
  <si>
    <t>¿Existe un proceso formal de Control de Cambios (CAB) para autorizar modificaciones en la topología o reglas de red?</t>
  </si>
  <si>
    <t>11.2</t>
  </si>
  <si>
    <t>¿Se realiza una evaluación de impacto de seguridad antes de aplicar modificaciones en el diseño de la red interna?</t>
  </si>
  <si>
    <t>11.3</t>
  </si>
  <si>
    <t>¿Se realiza una evaluación de riesgos y seguridad antes de publicar servicios o modificar el perímetro de red externa?</t>
  </si>
  <si>
    <t>11.4</t>
  </si>
  <si>
    <t>¿Se mantiene documentación actualizada de los diagramas de red y listas de control de acceso (ACLs) posterior a cada cambio?</t>
  </si>
  <si>
    <t>12.1</t>
  </si>
  <si>
    <t>¿Se dispone de herramientas centralizadas (ej. SIEM, NIDS/NIPS, NDR) para el monitoreo continuo del tráfico y eventos de red?</t>
  </si>
  <si>
    <t>12.2</t>
  </si>
  <si>
    <t>¿Existen procedimientos operativos documentados para el análisis y triaje de alertas de seguridad generadas en la red?</t>
  </si>
  <si>
    <t>12.3</t>
  </si>
  <si>
    <t>¿Existen flujos de respuesta rápida definidos para aislar o mitigar amenazas detectadas en el entorno de red?</t>
  </si>
  <si>
    <t>12.4</t>
  </si>
  <si>
    <t>¿Se generan y revisan reportes periódicos sobre anomalías y eventos de seguridad identificados en la infraestructura de red?</t>
  </si>
  <si>
    <t>5.1</t>
  </si>
  <si>
    <t>¿Están formalmente designados y documentados los propietarios de los datos (Data Owners) por parte de las gerencias del negocio?</t>
  </si>
  <si>
    <t>5.2</t>
  </si>
  <si>
    <t>¿Participan formalmente los propietarios de los datos en la definición de las políticas de clasificación, confidencialidad y acceso a la información?</t>
  </si>
  <si>
    <t>5.3</t>
  </si>
  <si>
    <t>¿Aprueban formalmente los propietarios de los datos las solicitudes de acceso y niveles de permisos sobre la información de su dominio?</t>
  </si>
  <si>
    <t>6.1</t>
  </si>
  <si>
    <t>¿Están formalmente documentados los roles, funciones y responsabilidades de ciberseguridad en las descripciones de cargo del personal?</t>
  </si>
  <si>
    <t>6.2</t>
  </si>
  <si>
    <t>¿Se comunican de forma explícita las responsabilidades individuales de seguridad a todo el personal de la organización durante su ingreso?</t>
  </si>
  <si>
    <t>6.3</t>
  </si>
  <si>
    <t>¿Se notifica periódicamente a los colaboradores sobre las actualizaciones en sus funciones y responsabilidades en materia de seguridad?</t>
  </si>
  <si>
    <t>7.1</t>
  </si>
  <si>
    <t>¿Cuenta la organización con un cuerpo de políticas de seguridad de la información formalmente redactado y documentado?</t>
  </si>
  <si>
    <t>7.2</t>
  </si>
  <si>
    <t>¿Están las políticas de seguridad de la información aprobadas formalmente por la Alta Dirección o el Comité de Seguridad?</t>
  </si>
  <si>
    <t>7.3</t>
  </si>
  <si>
    <t>¿Existen procedimientos operativos de seguridad documentados que desarrollen los lineamientos establecidos en las políticas?</t>
  </si>
  <si>
    <t>7.4</t>
  </si>
  <si>
    <t>¿Se han divulgado y puesto a disposición de todo el personal de TI las políticas y procedimientos de seguridad aplicables?</t>
  </si>
  <si>
    <t>8.1</t>
  </si>
  <si>
    <t>¿Existe una frecuencia definida (mínimo anual) para la revisión y actualización obligatoria de las políticas y procedimientos de seguridad?</t>
  </si>
  <si>
    <t>8.2</t>
  </si>
  <si>
    <t>¿Se activa un proceso de revisión extraordinaria de las políticas de seguridad ante cambios significativos en la arquitectura o tecnología de TI?</t>
  </si>
  <si>
    <t>8.3</t>
  </si>
  <si>
    <t>¿Se registra el control de versiones, fecha de revisión y aprobaciones en cada actualización del documento normativo?</t>
  </si>
  <si>
    <t>9.1</t>
  </si>
  <si>
    <t>¿Se ejecuta un plan anual de concientización en ciberseguridad dirigido a todos los usuarios del negocio?</t>
  </si>
  <si>
    <t>9.2</t>
  </si>
  <si>
    <t>¿Se imparten programas de capacitación técnica especializada en seguridad para el personal operativo y administradores de TI?</t>
  </si>
  <si>
    <t>9.3</t>
  </si>
  <si>
    <t>¿Se ejecutan campañas periódicas de simulación de ingeniería social (ej. phishing) para medir el nivel de concientización de los usuarios?</t>
  </si>
  <si>
    <t>9.4</t>
  </si>
  <si>
    <t>¿Se lleva un registro de asistencia, evaluaciones y efectividad de las actividades de concientización y educación ejecutadas?</t>
  </si>
  <si>
    <t>1.1</t>
  </si>
  <si>
    <t>¿Están formalmente definidos los perfiles y derechos de acceso en las aplicaciones según la matriz de segregación de funciones (SoD)?</t>
  </si>
  <si>
    <t>1.2</t>
  </si>
  <si>
    <t>¿Están formalmente definidos los perfiles y permisos de acceso en las bases de datos para garantizar la segregación de funciones (SoD)?</t>
  </si>
  <si>
    <t>1.3</t>
  </si>
  <si>
    <t>¿Están formalmente definidos los privilegios y derechos de acceso en los sistemas operativos respetando la segregación de funciones (SoD)?</t>
  </si>
  <si>
    <t>1.4</t>
  </si>
  <si>
    <t>¿Existe una matriz de segregación de funciones (SoD) formalmente aprobada y actualizada que abarque aplicaciones, bases de datos y sistemas operativos?</t>
  </si>
  <si>
    <t>2.1</t>
  </si>
  <si>
    <t>¿Existe un procedimiento documentado para la solicitud y otorgamiento de nuevos derechos de acceso previa aprobación autorizada?</t>
  </si>
  <si>
    <t>2.2</t>
  </si>
  <si>
    <t>¿Existe un procedimiento documentado para la modificación de perfiles o privilegios de acceso con la debida aprobación?</t>
  </si>
  <si>
    <t>2.3</t>
  </si>
  <si>
    <t>¿Existe un procedimiento documentado para la revocación o eliminación inmediata de accesos por retiro o cambio de puesto del personal?</t>
  </si>
  <si>
    <t>2.4</t>
  </si>
  <si>
    <t>¿Se mantiene evidencia de las aprobaciones formales emitidas por los responsables autorizados antes de ejecutar cualquier cambio en los accesos?</t>
  </si>
  <si>
    <t>3.1</t>
  </si>
  <si>
    <t>¿La función de seguridad de la información coordina y cronograma las revisiones periódicas de accesos de usuarios?</t>
  </si>
  <si>
    <t>3.2</t>
  </si>
  <si>
    <t>¿La administración o propietarios del negocio ejecutan la validación y recertificación periódica de los accesos de sus usuarios?</t>
  </si>
  <si>
    <t>3.3</t>
  </si>
  <si>
    <t>¿Se conserva la evidencia documental de la conformidad y recertificación de accesos por parte de los responsables del negocio?</t>
  </si>
  <si>
    <t>4.1</t>
  </si>
  <si>
    <t>¿Se valida la matriz de segregación de funciones (SoD) de forma previa a la aprobación de solicitudes de acceso?</t>
  </si>
  <si>
    <t>4.2</t>
  </si>
  <si>
    <t>¿Se evalúan y detectan posibles conflictos de segregación de funciones (SoD) durante las revisiones periódicas de recertificación de acceso?</t>
  </si>
  <si>
    <t>4.3</t>
  </si>
  <si>
    <t>¿Existe un proceso formal para documentar, autorizar y mitigar las excepciones justificadas a la segregación de funciones (SoD)?</t>
  </si>
  <si>
    <t>PROMEDIO GENERAL DE CUMPLIMIENTO DE AUDITORÍA</t>
  </si>
  <si>
    <t>Resumen Operativo:</t>
  </si>
  <si>
    <t>Revisado por:</t>
  </si>
  <si>
    <t>Fecha ejecución</t>
  </si>
  <si>
    <t>Confirmar</t>
  </si>
  <si>
    <t>Recepción</t>
  </si>
  <si>
    <t>JEFE DE AUDITORIA TI</t>
  </si>
  <si>
    <t>Carlos Gómez</t>
  </si>
  <si>
    <t>GERENTE DE CONTRALORIA</t>
  </si>
  <si>
    <t>Luis Pulido</t>
  </si>
  <si>
    <t>AC-A2-37-08-2026-9</t>
  </si>
  <si>
    <t>Resumen Documentación:</t>
  </si>
  <si>
    <t>Elaborado por:</t>
  </si>
  <si>
    <t>Fecha Recepción</t>
  </si>
  <si>
    <t>Verificado por:</t>
  </si>
  <si>
    <t>Verificación</t>
  </si>
  <si>
    <t>Fecha Verificación</t>
  </si>
  <si>
    <t>Métrica de Valor</t>
  </si>
  <si>
    <t>Descripción Operativa</t>
  </si>
  <si>
    <t>Fórmula de Excel (Español)</t>
  </si>
  <si>
    <t>Total de Controles Evaluados</t>
  </si>
  <si>
    <t>Cuenta el número de ítems auditados en el cuestionario.</t>
  </si>
  <si>
    <t>Controles Cumplidos (Sí)</t>
  </si>
  <si>
    <t>Conteo de controles implementados satisfactoriamente.</t>
  </si>
  <si>
    <t>Controles Documentados</t>
  </si>
  <si>
    <t>Conteo de controles con implementación incompleta.</t>
  </si>
  <si>
    <t>Brechas / Deficiencias (No)</t>
  </si>
  <si>
    <t>Conteo de controles no ejecutados o inexistentes.</t>
  </si>
  <si>
    <t>Tasa de Cumplimiento Efectivo (%)</t>
  </si>
  <si>
    <t>Porcentaje ponderado de cumplimiento asignando 100% a "Sí", 50% a "Parcial" y 0% a "No".</t>
  </si>
  <si>
    <t>Puntaje Ponderado de Madurez</t>
  </si>
  <si>
    <t>Calificación final de 1 a 5 ajustada según el peso específico de cada control.</t>
  </si>
  <si>
    <t>Brechas de Riesgo Alto</t>
  </si>
  <si>
    <t>Cantidad de fallas críticas que requieren corrección inmediata.</t>
  </si>
  <si>
    <t>Brechas de Riesgo Medio</t>
  </si>
  <si>
    <t>Deficiencias moderadas a corregir en plazo medio.</t>
  </si>
  <si>
    <t>Índice de Exposición al Riesgo (%)</t>
  </si>
  <si>
    <t>Porcentaje de controles no cumplidos clasificados bajo riesgo Alto o Medio.</t>
  </si>
  <si>
    <t>Área Evaluada</t>
  </si>
  <si>
    <t>Promedio Cumplimiento (%)</t>
  </si>
  <si>
    <t>Interpretación</t>
  </si>
  <si>
    <t>Cantidad Controles</t>
  </si>
  <si>
    <t>%</t>
  </si>
  <si>
    <t>Cantidad Doc.</t>
  </si>
  <si>
    <t>SEGURIDAD</t>
  </si>
  <si>
    <t>Solo los correos</t>
  </si>
  <si>
    <t>Vía 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</si>
</sst>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0"/>
      <name val="Calibri"/>
      <family val="2"/>
    </font>
    <font>
      <i/>
      <sz val="10"/>
      <color rgb="FF595959"/>
      <name val="Calibri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1B365D"/>
      <name val="Calibri"/>
      <family val="2"/>
    </font>
    <font>
      <b/>
      <i/>
      <sz val="10"/>
      <color rgb="FF555555"/>
      <name val="Calibri"/>
      <family val="2"/>
    </font>
    <font>
      <b/>
      <sz val="9.5"/>
      <color rgb="FF333333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1B365D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sz val="11.5"/>
      <color rgb="FF1F1F1F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8EEF5"/>
        <bgColor rgb="FFE8EEF5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</fills>
  <borders count="2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medium">
        <color theme="0" tint="-0.499984740745262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theme="0" tint="-0.499984740745262"/>
      </left>
      <right/>
      <top/>
      <bottom style="thin">
        <color rgb="FFA6A6A6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double">
        <color rgb="FF1B365D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/>
      </right>
      <top style="thin">
        <color theme="0" tint="-0.24994659260841701"/>
      </top>
      <bottom style="thin">
        <color theme="0"/>
      </bottom>
      <diagonal/>
    </border>
    <border>
      <left style="thin">
        <color theme="0" tint="-0.2499465926084170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24994659260841701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thin">
        <color theme="0"/>
      </right>
      <top style="thin">
        <color theme="0"/>
      </top>
      <bottom style="thin">
        <color theme="0" tint="-0.2499465926084170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3">
    <xf numFmtId="0" fontId="0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7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0" borderId="14" xfId="0" applyFont="1" applyBorder="1" applyAlignment="1" applyProtection="1">
      <alignment vertical="center" wrapText="1"/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7" xfId="0" applyBorder="1" applyAlignment="1" applyProtection="1">
      <protection hidden="1"/>
    </xf>
    <xf numFmtId="0" fontId="0" fillId="0" borderId="8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0" xfId="0" applyBorder="1" applyAlignment="1" applyProtection="1">
      <protection hidden="1"/>
    </xf>
    <xf numFmtId="0" fontId="0" fillId="0" borderId="10" xfId="0" applyBorder="1" applyProtection="1">
      <protection hidden="1"/>
    </xf>
    <xf numFmtId="9" fontId="13" fillId="6" borderId="15" xfId="0" applyNumberFormat="1" applyFont="1" applyFill="1" applyBorder="1" applyAlignment="1" applyProtection="1">
      <alignment horizontal="center" vertical="center"/>
      <protection hidden="1"/>
    </xf>
    <xf numFmtId="0" fontId="12" fillId="0" borderId="9" xfId="0" applyFont="1" applyBorder="1" applyProtection="1">
      <protection hidden="1"/>
    </xf>
    <xf numFmtId="0" fontId="12" fillId="0" borderId="9" xfId="0" applyFont="1" applyBorder="1" applyAlignment="1" applyProtection="1">
      <alignment horizontal="center" wrapText="1"/>
      <protection hidden="1"/>
    </xf>
    <xf numFmtId="0" fontId="11" fillId="0" borderId="0" xfId="0" applyFont="1" applyBorder="1" applyAlignment="1" applyProtection="1">
      <alignment horizontal="center" wrapText="1"/>
      <protection hidden="1"/>
    </xf>
    <xf numFmtId="0" fontId="12" fillId="0" borderId="0" xfId="0" applyFont="1" applyAlignment="1" applyProtection="1">
      <alignment horizontal="center" wrapText="1"/>
      <protection hidden="1"/>
    </xf>
    <xf numFmtId="0" fontId="0" fillId="0" borderId="0" xfId="0" applyAlignment="1" applyProtection="1">
      <alignment horizontal="center" wrapText="1"/>
      <protection hidden="1"/>
    </xf>
    <xf numFmtId="0" fontId="0" fillId="0" borderId="10" xfId="0" applyBorder="1" applyAlignment="1" applyProtection="1">
      <alignment horizontal="center" wrapText="1"/>
      <protection hidden="1"/>
    </xf>
    <xf numFmtId="0" fontId="0" fillId="0" borderId="16" xfId="0" applyBorder="1" applyAlignment="1" applyProtection="1">
      <alignment horizontal="right" vertical="center" wrapText="1"/>
      <protection hidden="1"/>
    </xf>
    <xf numFmtId="0" fontId="14" fillId="8" borderId="16" xfId="0" applyFont="1" applyFill="1" applyBorder="1" applyAlignment="1" applyProtection="1">
      <alignment horizontal="left" vertical="center" wrapText="1"/>
      <protection hidden="1"/>
    </xf>
    <xf numFmtId="0" fontId="0" fillId="0" borderId="16" xfId="0" applyBorder="1" applyAlignment="1" applyProtection="1">
      <alignment horizontal="center" vertical="center" wrapText="1"/>
      <protection hidden="1"/>
    </xf>
    <xf numFmtId="164" fontId="0" fillId="0" borderId="16" xfId="0" applyNumberFormat="1" applyBorder="1" applyAlignment="1" applyProtection="1">
      <alignment horizontal="center" vertical="center" wrapText="1"/>
      <protection hidden="1"/>
    </xf>
    <xf numFmtId="0" fontId="11" fillId="0" borderId="0" xfId="0" applyFont="1" applyBorder="1" applyProtection="1">
      <protection hidden="1"/>
    </xf>
    <xf numFmtId="0" fontId="12" fillId="0" borderId="0" xfId="0" applyFont="1" applyBorder="1" applyAlignment="1" applyProtection="1">
      <protection hidden="1"/>
    </xf>
    <xf numFmtId="0" fontId="12" fillId="0" borderId="11" xfId="0" applyFont="1" applyBorder="1" applyProtection="1">
      <protection hidden="1"/>
    </xf>
    <xf numFmtId="0" fontId="12" fillId="0" borderId="13" xfId="0" applyFont="1" applyBorder="1" applyProtection="1">
      <protection hidden="1"/>
    </xf>
    <xf numFmtId="0" fontId="12" fillId="0" borderId="13" xfId="0" applyFont="1" applyBorder="1" applyAlignment="1" applyProtection="1">
      <protection hidden="1"/>
    </xf>
    <xf numFmtId="0" fontId="0" fillId="0" borderId="13" xfId="0" applyBorder="1" applyProtection="1">
      <protection hidden="1"/>
    </xf>
    <xf numFmtId="0" fontId="0" fillId="0" borderId="12" xfId="0" applyBorder="1" applyProtection="1">
      <protection hidden="1"/>
    </xf>
    <xf numFmtId="0" fontId="3" fillId="9" borderId="20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0" fillId="0" borderId="0" xfId="0" applyProtection="1">
      <protection hidden="1"/>
    </xf>
    <xf numFmtId="0" fontId="16" fillId="0" borderId="25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10" fontId="18" fillId="0" borderId="25" xfId="2" applyNumberFormat="1" applyFont="1" applyBorder="1" applyAlignment="1">
      <alignment horizontal="left" vertical="center"/>
    </xf>
    <xf numFmtId="0" fontId="0" fillId="0" borderId="0" xfId="0" applyAlignment="1" applyProtection="1">
      <protection hidden="1"/>
    </xf>
    <xf numFmtId="0" fontId="3" fillId="0" borderId="1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7" fillId="0" borderId="14" xfId="0" applyFont="1" applyBorder="1" applyAlignment="1" applyProtection="1">
      <alignment horizontal="center" vertical="center" wrapText="1"/>
      <protection hidden="1"/>
    </xf>
    <xf numFmtId="0" fontId="6" fillId="7" borderId="17" xfId="0" applyFont="1" applyFill="1" applyBorder="1" applyAlignment="1" applyProtection="1">
      <alignment horizontal="center" vertical="center"/>
      <protection hidden="1"/>
    </xf>
    <xf numFmtId="0" fontId="6" fillId="7" borderId="18" xfId="0" applyFont="1" applyFill="1" applyBorder="1" applyAlignment="1" applyProtection="1">
      <alignment horizontal="center" vertical="center"/>
      <protection hidden="1"/>
    </xf>
    <xf numFmtId="0" fontId="6" fillId="7" borderId="19" xfId="0" applyFont="1" applyFill="1" applyBorder="1" applyAlignment="1" applyProtection="1">
      <alignment horizontal="center" vertical="center"/>
      <protection hidden="1"/>
    </xf>
    <xf numFmtId="0" fontId="6" fillId="5" borderId="14" xfId="0" applyFont="1" applyFill="1" applyBorder="1" applyAlignment="1" applyProtection="1">
      <alignment horizontal="center" vertical="center"/>
      <protection hidden="1"/>
    </xf>
    <xf numFmtId="0" fontId="9" fillId="0" borderId="0" xfId="0" applyFont="1" applyBorder="1" applyAlignment="1" applyProtection="1">
      <alignment horizontal="right" vertical="center"/>
      <protection hidden="1"/>
    </xf>
    <xf numFmtId="0" fontId="0" fillId="0" borderId="0" xfId="0" applyBorder="1" applyProtection="1">
      <protection hidden="1"/>
    </xf>
    <xf numFmtId="0" fontId="10" fillId="0" borderId="0" xfId="0" applyFont="1" applyBorder="1" applyAlignment="1" applyProtection="1">
      <alignment horizontal="center" vertical="center"/>
      <protection hidden="1"/>
    </xf>
    <xf numFmtId="0" fontId="5" fillId="0" borderId="0" xfId="0" applyFont="1" applyBorder="1" applyProtection="1">
      <protection hidden="1"/>
    </xf>
    <xf numFmtId="0" fontId="8" fillId="0" borderId="0" xfId="0" applyFont="1" applyBorder="1" applyAlignment="1" applyProtection="1">
      <alignment horizontal="right" vertical="center"/>
      <protection hidden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15"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CheckBox" checked="Checked" fmlaLink="$B$93" lockText="1" noThreeD="1"/>
</file>

<file path=xl/ctrlProps/ctrlProp2.xml><?xml version="1.0" encoding="utf-8"?>
<formControlPr xmlns="http://schemas.microsoft.com/office/spreadsheetml/2009/9/main" objectType="CheckBox" fmlaLink="$B$94" lockText="1" noThreeD="1"/>
</file>

<file path=xl/ctrlProps/ctrlProp3.xml><?xml version="1.0" encoding="utf-8"?>
<formControlPr xmlns="http://schemas.microsoft.com/office/spreadsheetml/2009/9/main" objectType="CheckBox" checked="Checked" fmlaLink="$B$95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Presentaciones/Agosto/PRESENTACI&#211;N%20PLAN%20DE%20TRABAJO%202026%20-%20VP%20TI.ppt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166688</xdr:rowOff>
    </xdr:from>
    <xdr:to>
      <xdr:col>2</xdr:col>
      <xdr:colOff>695908</xdr:colOff>
      <xdr:row>3</xdr:row>
      <xdr:rowOff>63501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5F69E76C-1042-4AE2-ACD7-32A0F42E8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688"/>
          <a:ext cx="1446002" cy="1035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92</xdr:row>
          <xdr:rowOff>228600</xdr:rowOff>
        </xdr:from>
        <xdr:to>
          <xdr:col>6</xdr:col>
          <xdr:colOff>603250</xdr:colOff>
          <xdr:row>92</xdr:row>
          <xdr:rowOff>412750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93</xdr:row>
          <xdr:rowOff>184150</xdr:rowOff>
        </xdr:from>
        <xdr:to>
          <xdr:col>6</xdr:col>
          <xdr:colOff>603250</xdr:colOff>
          <xdr:row>93</xdr:row>
          <xdr:rowOff>361950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94</xdr:row>
          <xdr:rowOff>209550</xdr:rowOff>
        </xdr:from>
        <xdr:to>
          <xdr:col>6</xdr:col>
          <xdr:colOff>603250</xdr:colOff>
          <xdr:row>94</xdr:row>
          <xdr:rowOff>393700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57150</xdr:rowOff>
    </xdr:from>
    <xdr:to>
      <xdr:col>3</xdr:col>
      <xdr:colOff>0</xdr:colOff>
      <xdr:row>1</xdr:row>
      <xdr:rowOff>373515</xdr:rowOff>
    </xdr:to>
    <xdr:sp macro="" textlink="">
      <xdr:nvSpPr>
        <xdr:cNvPr id="2" name="Flecha: hacia la izquierda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E0EFCF-8664-EC85-E882-1F2CC34CD858}"/>
            </a:ext>
          </a:extLst>
        </xdr:cNvPr>
        <xdr:cNvSpPr/>
      </xdr:nvSpPr>
      <xdr:spPr>
        <a:xfrm>
          <a:off x="11163300" y="57150"/>
          <a:ext cx="876738" cy="506865"/>
        </a:xfrm>
        <a:prstGeom prst="leftArrow">
          <a:avLst/>
        </a:prstGeom>
        <a:solidFill>
          <a:srgbClr val="FFC00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>
          <a:defPPr>
            <a:defRPr lang="es-V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VE" b="1">
            <a:ln/>
            <a:solidFill>
              <a:schemeClr val="accent4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Seguros%20Constitucion\Auditoria\Contraloria\2026\SISTEMAS\Plan%20de%20Trabajo\2026\2do%20Sem\Evaluaciones\Cuestionario_Ciberseguridad_T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96"/>
  <sheetViews>
    <sheetView showGridLines="0" tabSelected="1" topLeftCell="A4" zoomScale="80" zoomScaleNormal="80" workbookViewId="0">
      <selection activeCell="I90" sqref="I90"/>
    </sheetView>
  </sheetViews>
  <sheetFormatPr baseColWidth="10" defaultColWidth="9.1796875" defaultRowHeight="14.5" x14ac:dyDescent="0.35"/>
  <cols>
    <col min="1" max="1" width="3.26953125" customWidth="1"/>
    <col min="2" max="2" width="8" customWidth="1"/>
    <col min="3" max="3" width="55.7265625" customWidth="1"/>
    <col min="4" max="6" width="17.453125" customWidth="1"/>
    <col min="7" max="7" width="15.54296875" customWidth="1"/>
    <col min="8" max="8" width="14.81640625" customWidth="1"/>
    <col min="9" max="9" width="45.81640625" customWidth="1"/>
    <col min="10" max="10" width="3.7265625" customWidth="1"/>
    <col min="11" max="20" width="9.1796875" hidden="1" customWidth="1"/>
    <col min="21" max="21" width="0" hidden="1" customWidth="1"/>
  </cols>
  <sheetData>
    <row r="1" spans="1:19" ht="36.75" customHeight="1" thickBot="1" x14ac:dyDescent="0.4">
      <c r="D1" s="69" t="s">
        <v>52</v>
      </c>
      <c r="E1" s="69"/>
      <c r="F1" s="21" t="s">
        <v>55</v>
      </c>
      <c r="G1" s="65" t="s">
        <v>21</v>
      </c>
      <c r="H1" s="65"/>
      <c r="I1" s="65"/>
      <c r="N1" s="54" t="s">
        <v>201</v>
      </c>
      <c r="O1" s="54" t="s">
        <v>202</v>
      </c>
      <c r="P1" s="54" t="s">
        <v>203</v>
      </c>
      <c r="Q1" s="53"/>
      <c r="R1" s="53"/>
      <c r="S1" s="53"/>
    </row>
    <row r="2" spans="1:19" ht="36.75" customHeight="1" thickBot="1" x14ac:dyDescent="0.4">
      <c r="D2" s="69" t="s">
        <v>53</v>
      </c>
      <c r="E2" s="69"/>
      <c r="F2" s="65" t="s">
        <v>57</v>
      </c>
      <c r="G2" s="65"/>
      <c r="H2" s="65"/>
      <c r="I2" s="65"/>
      <c r="N2" s="54" t="s">
        <v>204</v>
      </c>
      <c r="O2" s="55" t="s">
        <v>205</v>
      </c>
      <c r="P2" s="56">
        <f>COUNT(K8:K85)</f>
        <v>78</v>
      </c>
      <c r="Q2" s="53"/>
      <c r="R2" s="53"/>
      <c r="S2" s="53"/>
    </row>
    <row r="3" spans="1:19" ht="16" thickBot="1" x14ac:dyDescent="0.4">
      <c r="D3" s="69" t="s">
        <v>54</v>
      </c>
      <c r="E3" s="69"/>
      <c r="F3" s="66" t="s">
        <v>194</v>
      </c>
      <c r="G3" s="67"/>
      <c r="H3" s="67"/>
      <c r="I3" s="68"/>
      <c r="N3" s="54" t="s">
        <v>206</v>
      </c>
      <c r="O3" s="55" t="s">
        <v>207</v>
      </c>
      <c r="P3" s="56">
        <f>COUNTIF(D8:D85, "Si")</f>
        <v>34</v>
      </c>
      <c r="Q3" s="53"/>
      <c r="R3" s="53"/>
      <c r="S3" s="53"/>
    </row>
    <row r="4" spans="1:19" ht="16" thickBot="1" x14ac:dyDescent="0.4">
      <c r="N4" s="54" t="s">
        <v>208</v>
      </c>
      <c r="O4" s="55" t="s">
        <v>209</v>
      </c>
      <c r="P4" s="56">
        <f>COUNTIF(E8:E85, "Si")</f>
        <v>3</v>
      </c>
      <c r="Q4" s="53"/>
      <c r="R4" s="53"/>
      <c r="S4" s="53"/>
    </row>
    <row r="5" spans="1:19" ht="16" thickBot="1" x14ac:dyDescent="0.4">
      <c r="A5" s="13"/>
      <c r="B5" s="14"/>
      <c r="C5" s="14"/>
      <c r="D5" s="14"/>
      <c r="E5" s="14"/>
      <c r="F5" s="14"/>
      <c r="G5" s="14"/>
      <c r="H5" s="14"/>
      <c r="I5" s="14"/>
      <c r="J5" s="15"/>
      <c r="N5" s="54" t="s">
        <v>210</v>
      </c>
      <c r="O5" s="55" t="s">
        <v>211</v>
      </c>
      <c r="P5" s="56">
        <f>COUNTIF(F8:F85, "Inexistente")</f>
        <v>60</v>
      </c>
      <c r="Q5" s="53"/>
      <c r="R5" s="53"/>
      <c r="S5" s="53"/>
    </row>
    <row r="6" spans="1:19" ht="15" customHeight="1" thickBot="1" x14ac:dyDescent="0.4">
      <c r="A6" s="16"/>
      <c r="B6" s="63" t="s">
        <v>0</v>
      </c>
      <c r="C6" s="63"/>
      <c r="D6" s="63"/>
      <c r="E6" s="63"/>
      <c r="F6" s="63"/>
      <c r="G6" s="63"/>
      <c r="H6" s="63"/>
      <c r="I6" s="63"/>
      <c r="J6" s="17"/>
      <c r="N6" s="54" t="s">
        <v>212</v>
      </c>
      <c r="O6" s="55" t="s">
        <v>213</v>
      </c>
      <c r="P6" s="57">
        <f>(COUNTIF(D8:D85,"Si")+(COUNTIF(E8:E85,"SI")+(COUNTIF(F8:F85,"Actualizado")*0.5))/COUNT(K8:K85))*0.01</f>
        <v>0.3405128205128205</v>
      </c>
      <c r="Q6" s="53"/>
      <c r="R6" s="53"/>
      <c r="S6" s="53"/>
    </row>
    <row r="7" spans="1:19" ht="29.5" thickBot="1" x14ac:dyDescent="0.4">
      <c r="A7" s="16"/>
      <c r="B7" s="6" t="s">
        <v>1</v>
      </c>
      <c r="C7" s="6" t="s">
        <v>29</v>
      </c>
      <c r="D7" s="6" t="s">
        <v>2</v>
      </c>
      <c r="E7" s="6" t="s">
        <v>3</v>
      </c>
      <c r="F7" s="6" t="s">
        <v>4</v>
      </c>
      <c r="G7" s="6" t="s">
        <v>5</v>
      </c>
      <c r="H7" s="64" t="s">
        <v>17</v>
      </c>
      <c r="I7" s="64"/>
      <c r="J7" s="17"/>
      <c r="N7" s="54" t="s">
        <v>214</v>
      </c>
      <c r="O7" s="55" t="s">
        <v>215</v>
      </c>
      <c r="P7" s="56">
        <f>SUMPRODUCT((D8:D85="Si")*1 + (E8:E85="Si")*0.5, F8:F85="Actualizado") / SUM(G8:G85) * 5</f>
        <v>0</v>
      </c>
      <c r="Q7" s="53"/>
      <c r="R7" s="53"/>
      <c r="S7" s="53"/>
    </row>
    <row r="8" spans="1:19" ht="40" customHeight="1" thickBot="1" x14ac:dyDescent="0.4">
      <c r="A8" s="16"/>
      <c r="B8" s="7" t="s">
        <v>156</v>
      </c>
      <c r="C8" s="8" t="s">
        <v>157</v>
      </c>
      <c r="D8" s="49" t="s">
        <v>32</v>
      </c>
      <c r="E8" s="50" t="s">
        <v>15</v>
      </c>
      <c r="F8" s="51" t="s">
        <v>35</v>
      </c>
      <c r="G8" s="9">
        <f>IF(D8="","",IF(D8="No",0,0.4+IF(E8="Si",0.3,0)+IF(F8="Actualizado",0.3,IF(F8="Desactualizado",0.15,0))))</f>
        <v>0.4</v>
      </c>
      <c r="H8" s="10" t="s">
        <v>6</v>
      </c>
      <c r="I8" s="11" t="s">
        <v>7</v>
      </c>
      <c r="J8" s="17"/>
      <c r="K8" s="53">
        <f>IF(H8="Detalle:",1,0)</f>
        <v>1</v>
      </c>
      <c r="L8">
        <f>IF(E8="","",IF(AND(E8="No",F8&lt;&gt;"Inexistente"),1,0))</f>
        <v>0</v>
      </c>
      <c r="N8" s="54" t="s">
        <v>216</v>
      </c>
      <c r="O8" s="55" t="s">
        <v>217</v>
      </c>
      <c r="P8" s="56">
        <f>COUNTIFS(D8:D85, "No", E8:E85, "No",F8:F85,"Inexistente")</f>
        <v>29</v>
      </c>
      <c r="Q8" s="53"/>
      <c r="R8" s="53"/>
      <c r="S8" s="53"/>
    </row>
    <row r="9" spans="1:19" ht="40" customHeight="1" thickBot="1" x14ac:dyDescent="0.4">
      <c r="A9" s="16"/>
      <c r="B9" s="7" t="s">
        <v>158</v>
      </c>
      <c r="C9" s="8" t="s">
        <v>159</v>
      </c>
      <c r="D9" s="49" t="s">
        <v>32</v>
      </c>
      <c r="E9" s="50" t="s">
        <v>15</v>
      </c>
      <c r="F9" s="51" t="s">
        <v>35</v>
      </c>
      <c r="G9" s="9">
        <f t="shared" ref="G9:G18" si="0">IF(D9="","",IF(D9="No",0,0.4+IF(E9="Si",0.3,0)+IF(F9="Actualizado",0.3,IF(F9="Desactualizado",0.15,0))))</f>
        <v>0.4</v>
      </c>
      <c r="H9" s="10" t="s">
        <v>6</v>
      </c>
      <c r="I9" s="11" t="s">
        <v>7</v>
      </c>
      <c r="J9" s="17"/>
      <c r="K9" s="53">
        <f t="shared" ref="K9:K72" si="1">IF(H9="Detalle:",1,0)</f>
        <v>1</v>
      </c>
      <c r="L9">
        <f t="shared" ref="L9:L72" si="2">IF(E9="","",IF(AND(E9="No",F9&lt;&gt;"Inexistente"),1,0))</f>
        <v>0</v>
      </c>
      <c r="N9" s="54" t="s">
        <v>218</v>
      </c>
      <c r="O9" s="55" t="s">
        <v>219</v>
      </c>
      <c r="P9" s="56">
        <f>COUNTIFS(D8:D85, "Si", E8:E85, "Si",F8:F85,"Desactualizado")</f>
        <v>1</v>
      </c>
      <c r="Q9" s="53"/>
      <c r="R9" s="53"/>
      <c r="S9" s="53"/>
    </row>
    <row r="10" spans="1:19" ht="40" customHeight="1" thickBot="1" x14ac:dyDescent="0.4">
      <c r="A10" s="16"/>
      <c r="B10" s="7" t="s">
        <v>160</v>
      </c>
      <c r="C10" s="8" t="s">
        <v>161</v>
      </c>
      <c r="D10" s="49" t="s">
        <v>32</v>
      </c>
      <c r="E10" s="50" t="s">
        <v>15</v>
      </c>
      <c r="F10" s="51" t="s">
        <v>35</v>
      </c>
      <c r="G10" s="9">
        <f t="shared" si="0"/>
        <v>0.4</v>
      </c>
      <c r="H10" s="10" t="s">
        <v>6</v>
      </c>
      <c r="I10" s="11" t="s">
        <v>7</v>
      </c>
      <c r="J10" s="17"/>
      <c r="K10" s="53">
        <f t="shared" si="1"/>
        <v>1</v>
      </c>
      <c r="L10">
        <f t="shared" si="2"/>
        <v>0</v>
      </c>
      <c r="N10" s="54" t="s">
        <v>220</v>
      </c>
      <c r="O10" s="55" t="s">
        <v>221</v>
      </c>
      <c r="P10" s="57">
        <f>COUNTIFS(D8:D85, "No", E8:E85, "no") / COUNT(K8:K85)</f>
        <v>0.37179487179487181</v>
      </c>
      <c r="Q10" s="53"/>
      <c r="R10" s="53"/>
      <c r="S10" s="53"/>
    </row>
    <row r="11" spans="1:19" ht="40" customHeight="1" x14ac:dyDescent="0.35">
      <c r="A11" s="16"/>
      <c r="B11" s="7" t="s">
        <v>162</v>
      </c>
      <c r="C11" s="8" t="s">
        <v>163</v>
      </c>
      <c r="D11" s="49" t="s">
        <v>15</v>
      </c>
      <c r="E11" s="50" t="s">
        <v>15</v>
      </c>
      <c r="F11" s="51" t="s">
        <v>35</v>
      </c>
      <c r="G11" s="9">
        <f t="shared" si="0"/>
        <v>0</v>
      </c>
      <c r="H11" s="10" t="s">
        <v>6</v>
      </c>
      <c r="I11" s="11" t="s">
        <v>7</v>
      </c>
      <c r="J11" s="17"/>
      <c r="K11" s="53">
        <f t="shared" si="1"/>
        <v>1</v>
      </c>
      <c r="L11">
        <f t="shared" si="2"/>
        <v>0</v>
      </c>
      <c r="N11" s="58"/>
      <c r="O11" s="58"/>
      <c r="P11" s="58"/>
      <c r="Q11" s="53"/>
      <c r="R11" s="53"/>
      <c r="S11" s="53"/>
    </row>
    <row r="12" spans="1:19" ht="40" customHeight="1" x14ac:dyDescent="0.35">
      <c r="A12" s="16"/>
      <c r="B12" s="7" t="s">
        <v>164</v>
      </c>
      <c r="C12" s="8" t="s">
        <v>165</v>
      </c>
      <c r="D12" s="49" t="s">
        <v>15</v>
      </c>
      <c r="E12" s="50" t="s">
        <v>15</v>
      </c>
      <c r="F12" s="51" t="s">
        <v>35</v>
      </c>
      <c r="G12" s="9">
        <f t="shared" si="0"/>
        <v>0</v>
      </c>
      <c r="H12" s="10" t="s">
        <v>6</v>
      </c>
      <c r="I12" s="11" t="s">
        <v>7</v>
      </c>
      <c r="J12" s="17"/>
      <c r="K12" s="53">
        <f t="shared" si="1"/>
        <v>1</v>
      </c>
      <c r="L12">
        <f t="shared" si="2"/>
        <v>0</v>
      </c>
      <c r="N12" s="1" t="s">
        <v>222</v>
      </c>
      <c r="O12" s="1" t="s">
        <v>223</v>
      </c>
      <c r="P12" s="1" t="s">
        <v>224</v>
      </c>
      <c r="Q12" s="1" t="s">
        <v>225</v>
      </c>
      <c r="R12" s="1" t="s">
        <v>226</v>
      </c>
      <c r="S12" s="1" t="s">
        <v>227</v>
      </c>
    </row>
    <row r="13" spans="1:19" ht="40" customHeight="1" x14ac:dyDescent="0.35">
      <c r="A13" s="16"/>
      <c r="B13" s="7" t="s">
        <v>166</v>
      </c>
      <c r="C13" s="8" t="s">
        <v>167</v>
      </c>
      <c r="D13" s="49" t="s">
        <v>15</v>
      </c>
      <c r="E13" s="50" t="s">
        <v>15</v>
      </c>
      <c r="F13" s="51" t="s">
        <v>35</v>
      </c>
      <c r="G13" s="9">
        <f t="shared" si="0"/>
        <v>0</v>
      </c>
      <c r="H13" s="10" t="s">
        <v>6</v>
      </c>
      <c r="I13" s="11" t="s">
        <v>7</v>
      </c>
      <c r="J13" s="17"/>
      <c r="K13" s="53">
        <f t="shared" si="1"/>
        <v>1</v>
      </c>
      <c r="L13">
        <f t="shared" si="2"/>
        <v>0</v>
      </c>
      <c r="N13" s="59" t="s">
        <v>228</v>
      </c>
      <c r="O13" s="60">
        <f>G89</f>
        <v>0.2420634920634922</v>
      </c>
      <c r="P13" s="59" t="str">
        <f t="shared" ref="P13" si="3">IF(O13="","",IF(O13&gt;=0.8,"Óptimo",IF(O13&gt;=0.6,"Aceptable","Crítico")))</f>
        <v>Crítico</v>
      </c>
      <c r="Q13" s="61">
        <f>P2</f>
        <v>78</v>
      </c>
      <c r="R13" s="62">
        <f>IFERROR(AVERAGEIF(D8:D85,"SI",G8:G85),"")</f>
        <v>0.44852941176470612</v>
      </c>
      <c r="S13" s="61">
        <f>COUNTIF(E8:E85,"SI")</f>
        <v>3</v>
      </c>
    </row>
    <row r="14" spans="1:19" ht="40" customHeight="1" x14ac:dyDescent="0.35">
      <c r="A14" s="16"/>
      <c r="B14" s="7" t="s">
        <v>168</v>
      </c>
      <c r="C14" s="8" t="s">
        <v>169</v>
      </c>
      <c r="D14" s="49" t="s">
        <v>15</v>
      </c>
      <c r="E14" s="50" t="s">
        <v>15</v>
      </c>
      <c r="F14" s="51" t="s">
        <v>35</v>
      </c>
      <c r="G14" s="9">
        <f t="shared" si="0"/>
        <v>0</v>
      </c>
      <c r="H14" s="10" t="s">
        <v>6</v>
      </c>
      <c r="I14" s="11" t="s">
        <v>7</v>
      </c>
      <c r="J14" s="17"/>
      <c r="K14" s="53">
        <f t="shared" si="1"/>
        <v>1</v>
      </c>
      <c r="L14">
        <f t="shared" si="2"/>
        <v>0</v>
      </c>
    </row>
    <row r="15" spans="1:19" ht="40" customHeight="1" x14ac:dyDescent="0.35">
      <c r="A15" s="16"/>
      <c r="B15" s="7" t="s">
        <v>170</v>
      </c>
      <c r="C15" s="8" t="s">
        <v>171</v>
      </c>
      <c r="D15" s="49" t="s">
        <v>32</v>
      </c>
      <c r="E15" s="50" t="s">
        <v>15</v>
      </c>
      <c r="F15" s="51" t="s">
        <v>35</v>
      </c>
      <c r="G15" s="9">
        <f t="shared" si="0"/>
        <v>0.4</v>
      </c>
      <c r="H15" s="10" t="s">
        <v>6</v>
      </c>
      <c r="I15" s="11" t="s">
        <v>229</v>
      </c>
      <c r="J15" s="17"/>
      <c r="K15" s="53">
        <f t="shared" si="1"/>
        <v>1</v>
      </c>
      <c r="L15">
        <f t="shared" si="2"/>
        <v>0</v>
      </c>
    </row>
    <row r="16" spans="1:19" ht="40" customHeight="1" x14ac:dyDescent="0.35">
      <c r="A16" s="16"/>
      <c r="B16" s="7" t="s">
        <v>172</v>
      </c>
      <c r="C16" s="8" t="s">
        <v>173</v>
      </c>
      <c r="D16" s="49" t="s">
        <v>15</v>
      </c>
      <c r="E16" s="50" t="s">
        <v>15</v>
      </c>
      <c r="F16" s="51" t="s">
        <v>35</v>
      </c>
      <c r="G16" s="9">
        <f t="shared" si="0"/>
        <v>0</v>
      </c>
      <c r="H16" s="10" t="s">
        <v>6</v>
      </c>
      <c r="I16" s="11" t="s">
        <v>7</v>
      </c>
      <c r="J16" s="17"/>
      <c r="K16" s="53">
        <f t="shared" si="1"/>
        <v>1</v>
      </c>
      <c r="L16">
        <f t="shared" si="2"/>
        <v>0</v>
      </c>
    </row>
    <row r="17" spans="1:12" ht="40" customHeight="1" x14ac:dyDescent="0.35">
      <c r="A17" s="16"/>
      <c r="B17" s="7" t="s">
        <v>174</v>
      </c>
      <c r="C17" s="8" t="s">
        <v>175</v>
      </c>
      <c r="D17" s="49" t="s">
        <v>15</v>
      </c>
      <c r="E17" s="50" t="s">
        <v>15</v>
      </c>
      <c r="F17" s="51" t="s">
        <v>35</v>
      </c>
      <c r="G17" s="9">
        <f t="shared" si="0"/>
        <v>0</v>
      </c>
      <c r="H17" s="10" t="s">
        <v>6</v>
      </c>
      <c r="I17" s="11" t="s">
        <v>7</v>
      </c>
      <c r="J17" s="17"/>
      <c r="K17" s="53">
        <f t="shared" si="1"/>
        <v>1</v>
      </c>
      <c r="L17">
        <f t="shared" si="2"/>
        <v>0</v>
      </c>
    </row>
    <row r="18" spans="1:12" ht="40" customHeight="1" x14ac:dyDescent="0.35">
      <c r="A18" s="16"/>
      <c r="B18" s="7" t="s">
        <v>176</v>
      </c>
      <c r="C18" s="8" t="s">
        <v>177</v>
      </c>
      <c r="D18" s="49" t="s">
        <v>15</v>
      </c>
      <c r="E18" s="50" t="s">
        <v>15</v>
      </c>
      <c r="F18" s="51" t="s">
        <v>35</v>
      </c>
      <c r="G18" s="9">
        <f t="shared" si="0"/>
        <v>0</v>
      </c>
      <c r="H18" s="10" t="s">
        <v>6</v>
      </c>
      <c r="I18" s="11" t="s">
        <v>7</v>
      </c>
      <c r="J18" s="17"/>
      <c r="K18" s="53">
        <f t="shared" si="1"/>
        <v>1</v>
      </c>
      <c r="L18">
        <f t="shared" si="2"/>
        <v>0</v>
      </c>
    </row>
    <row r="19" spans="1:12" ht="40" customHeight="1" x14ac:dyDescent="0.35">
      <c r="A19" s="16"/>
      <c r="B19" s="7" t="s">
        <v>178</v>
      </c>
      <c r="C19" s="8" t="s">
        <v>179</v>
      </c>
      <c r="D19" s="49" t="s">
        <v>15</v>
      </c>
      <c r="E19" s="50" t="s">
        <v>15</v>
      </c>
      <c r="F19" s="51" t="s">
        <v>35</v>
      </c>
      <c r="G19" s="9">
        <f t="shared" ref="G19:G21" si="4">IF(D19="","",IF(D19="No",0,0.4+IF(E19="Si",0.3,0)+IF(F19="Actualizado",0.3,IF(F19="Desactualizado",0.15,0))))</f>
        <v>0</v>
      </c>
      <c r="H19" s="10" t="s">
        <v>6</v>
      </c>
      <c r="I19" s="11" t="s">
        <v>7</v>
      </c>
      <c r="J19" s="17"/>
      <c r="K19" s="53">
        <f t="shared" si="1"/>
        <v>1</v>
      </c>
      <c r="L19">
        <f t="shared" si="2"/>
        <v>0</v>
      </c>
    </row>
    <row r="20" spans="1:12" ht="40" customHeight="1" x14ac:dyDescent="0.35">
      <c r="A20" s="16"/>
      <c r="B20" s="7" t="s">
        <v>180</v>
      </c>
      <c r="C20" s="8" t="s">
        <v>181</v>
      </c>
      <c r="D20" s="49" t="s">
        <v>15</v>
      </c>
      <c r="E20" s="50" t="s">
        <v>15</v>
      </c>
      <c r="F20" s="51" t="s">
        <v>35</v>
      </c>
      <c r="G20" s="9">
        <f t="shared" si="4"/>
        <v>0</v>
      </c>
      <c r="H20" s="10" t="s">
        <v>6</v>
      </c>
      <c r="I20" s="11" t="s">
        <v>7</v>
      </c>
      <c r="J20" s="17"/>
      <c r="K20" s="53">
        <f t="shared" si="1"/>
        <v>1</v>
      </c>
      <c r="L20">
        <f t="shared" si="2"/>
        <v>0</v>
      </c>
    </row>
    <row r="21" spans="1:12" ht="40" customHeight="1" x14ac:dyDescent="0.35">
      <c r="A21" s="16"/>
      <c r="B21" s="7" t="s">
        <v>182</v>
      </c>
      <c r="C21" s="8" t="s">
        <v>183</v>
      </c>
      <c r="D21" s="49" t="s">
        <v>15</v>
      </c>
      <c r="E21" s="50" t="s">
        <v>15</v>
      </c>
      <c r="F21" s="51" t="s">
        <v>35</v>
      </c>
      <c r="G21" s="9">
        <f t="shared" si="4"/>
        <v>0</v>
      </c>
      <c r="H21" s="10" t="s">
        <v>6</v>
      </c>
      <c r="I21" s="11" t="s">
        <v>7</v>
      </c>
      <c r="J21" s="17"/>
      <c r="K21" s="53">
        <f t="shared" si="1"/>
        <v>1</v>
      </c>
      <c r="L21">
        <f t="shared" si="2"/>
        <v>0</v>
      </c>
    </row>
    <row r="22" spans="1:12" x14ac:dyDescent="0.35">
      <c r="A22" s="16"/>
      <c r="B22" s="12"/>
      <c r="C22" s="12"/>
      <c r="D22" s="12"/>
      <c r="E22" s="12"/>
      <c r="F22" s="12"/>
      <c r="G22" s="12"/>
      <c r="H22" s="12"/>
      <c r="I22" s="12"/>
      <c r="J22" s="17"/>
      <c r="K22" s="53">
        <f t="shared" si="1"/>
        <v>0</v>
      </c>
      <c r="L22" t="str">
        <f t="shared" si="2"/>
        <v/>
      </c>
    </row>
    <row r="23" spans="1:12" ht="15" customHeight="1" x14ac:dyDescent="0.35">
      <c r="A23" s="16"/>
      <c r="B23" s="63" t="s">
        <v>8</v>
      </c>
      <c r="C23" s="63"/>
      <c r="D23" s="63"/>
      <c r="E23" s="63"/>
      <c r="F23" s="63"/>
      <c r="G23" s="63"/>
      <c r="H23" s="63"/>
      <c r="I23" s="63"/>
      <c r="J23" s="17"/>
      <c r="K23" s="53">
        <f t="shared" si="1"/>
        <v>0</v>
      </c>
      <c r="L23" t="str">
        <f t="shared" si="2"/>
        <v/>
      </c>
    </row>
    <row r="24" spans="1:12" ht="29" x14ac:dyDescent="0.35">
      <c r="A24" s="16"/>
      <c r="B24" s="6" t="s">
        <v>1</v>
      </c>
      <c r="C24" s="6" t="s">
        <v>29</v>
      </c>
      <c r="D24" s="6" t="s">
        <v>2</v>
      </c>
      <c r="E24" s="6" t="s">
        <v>3</v>
      </c>
      <c r="F24" s="6" t="s">
        <v>4</v>
      </c>
      <c r="G24" s="6" t="s">
        <v>5</v>
      </c>
      <c r="H24" s="64" t="s">
        <v>17</v>
      </c>
      <c r="I24" s="64"/>
      <c r="J24" s="17"/>
      <c r="K24" s="53">
        <f t="shared" si="1"/>
        <v>0</v>
      </c>
      <c r="L24">
        <f t="shared" si="2"/>
        <v>0</v>
      </c>
    </row>
    <row r="25" spans="1:12" ht="40" customHeight="1" x14ac:dyDescent="0.35">
      <c r="A25" s="16"/>
      <c r="B25" s="7" t="s">
        <v>122</v>
      </c>
      <c r="C25" s="8" t="s">
        <v>123</v>
      </c>
      <c r="D25" s="49" t="s">
        <v>15</v>
      </c>
      <c r="E25" s="50" t="s">
        <v>15</v>
      </c>
      <c r="F25" s="51" t="s">
        <v>35</v>
      </c>
      <c r="G25" s="9">
        <f t="shared" ref="G25:G41" si="5">IF(D25="","",IF(D25="No",0,0.4+IF(E25="Si",0.3,0)+IF(F25="Actualizado",0.3,IF(F25="Desactualizado",0.15,0))))</f>
        <v>0</v>
      </c>
      <c r="H25" s="10" t="s">
        <v>6</v>
      </c>
      <c r="I25" s="11" t="s">
        <v>7</v>
      </c>
      <c r="J25" s="17"/>
      <c r="K25" s="53">
        <f t="shared" si="1"/>
        <v>1</v>
      </c>
      <c r="L25">
        <f t="shared" si="2"/>
        <v>0</v>
      </c>
    </row>
    <row r="26" spans="1:12" ht="40" customHeight="1" x14ac:dyDescent="0.35">
      <c r="A26" s="16"/>
      <c r="B26" s="7" t="s">
        <v>124</v>
      </c>
      <c r="C26" s="8" t="s">
        <v>125</v>
      </c>
      <c r="D26" s="49" t="s">
        <v>15</v>
      </c>
      <c r="E26" s="50" t="s">
        <v>15</v>
      </c>
      <c r="F26" s="51" t="s">
        <v>35</v>
      </c>
      <c r="G26" s="9">
        <f t="shared" si="5"/>
        <v>0</v>
      </c>
      <c r="H26" s="10" t="s">
        <v>6</v>
      </c>
      <c r="I26" s="11" t="s">
        <v>7</v>
      </c>
      <c r="J26" s="17"/>
      <c r="K26" s="53">
        <f t="shared" si="1"/>
        <v>1</v>
      </c>
      <c r="L26">
        <f t="shared" si="2"/>
        <v>0</v>
      </c>
    </row>
    <row r="27" spans="1:12" ht="40" customHeight="1" x14ac:dyDescent="0.35">
      <c r="A27" s="16"/>
      <c r="B27" s="7" t="s">
        <v>126</v>
      </c>
      <c r="C27" s="8" t="s">
        <v>127</v>
      </c>
      <c r="D27" s="49" t="s">
        <v>32</v>
      </c>
      <c r="E27" s="50" t="s">
        <v>15</v>
      </c>
      <c r="F27" s="51" t="s">
        <v>35</v>
      </c>
      <c r="G27" s="9">
        <f t="shared" si="5"/>
        <v>0.4</v>
      </c>
      <c r="H27" s="10" t="s">
        <v>6</v>
      </c>
      <c r="I27" s="11" t="s">
        <v>230</v>
      </c>
      <c r="J27" s="17"/>
      <c r="K27" s="53">
        <f t="shared" si="1"/>
        <v>1</v>
      </c>
      <c r="L27">
        <f t="shared" si="2"/>
        <v>0</v>
      </c>
    </row>
    <row r="28" spans="1:12" ht="40" customHeight="1" x14ac:dyDescent="0.35">
      <c r="A28" s="16"/>
      <c r="B28" s="7" t="s">
        <v>128</v>
      </c>
      <c r="C28" s="8" t="s">
        <v>129</v>
      </c>
      <c r="D28" s="49" t="s">
        <v>32</v>
      </c>
      <c r="E28" s="50" t="s">
        <v>32</v>
      </c>
      <c r="F28" s="51" t="s">
        <v>33</v>
      </c>
      <c r="G28" s="9">
        <f t="shared" si="5"/>
        <v>1</v>
      </c>
      <c r="H28" s="10" t="s">
        <v>6</v>
      </c>
      <c r="I28" s="11" t="s">
        <v>7</v>
      </c>
      <c r="J28" s="17"/>
      <c r="K28" s="53">
        <f t="shared" si="1"/>
        <v>1</v>
      </c>
      <c r="L28">
        <f t="shared" si="2"/>
        <v>0</v>
      </c>
    </row>
    <row r="29" spans="1:12" ht="40" customHeight="1" x14ac:dyDescent="0.35">
      <c r="A29" s="16"/>
      <c r="B29" s="7" t="s">
        <v>130</v>
      </c>
      <c r="C29" s="8" t="s">
        <v>131</v>
      </c>
      <c r="D29" s="49" t="s">
        <v>32</v>
      </c>
      <c r="E29" s="50" t="s">
        <v>32</v>
      </c>
      <c r="F29" s="51" t="s">
        <v>33</v>
      </c>
      <c r="G29" s="9">
        <f t="shared" si="5"/>
        <v>1</v>
      </c>
      <c r="H29" s="10" t="s">
        <v>6</v>
      </c>
      <c r="I29" s="11" t="s">
        <v>7</v>
      </c>
      <c r="J29" s="17"/>
      <c r="K29" s="53">
        <f t="shared" si="1"/>
        <v>1</v>
      </c>
      <c r="L29">
        <f t="shared" si="2"/>
        <v>0</v>
      </c>
    </row>
    <row r="30" spans="1:12" ht="40" customHeight="1" x14ac:dyDescent="0.35">
      <c r="A30" s="16"/>
      <c r="B30" s="7" t="s">
        <v>132</v>
      </c>
      <c r="C30" s="8" t="s">
        <v>133</v>
      </c>
      <c r="D30" s="49" t="s">
        <v>15</v>
      </c>
      <c r="E30" s="50" t="s">
        <v>15</v>
      </c>
      <c r="F30" s="51" t="s">
        <v>35</v>
      </c>
      <c r="G30" s="9">
        <f t="shared" si="5"/>
        <v>0</v>
      </c>
      <c r="H30" s="10" t="s">
        <v>6</v>
      </c>
      <c r="I30" s="11" t="s">
        <v>7</v>
      </c>
      <c r="J30" s="17"/>
      <c r="K30" s="53">
        <f t="shared" si="1"/>
        <v>1</v>
      </c>
      <c r="L30">
        <f t="shared" si="2"/>
        <v>0</v>
      </c>
    </row>
    <row r="31" spans="1:12" ht="40" customHeight="1" x14ac:dyDescent="0.35">
      <c r="A31" s="16"/>
      <c r="B31" s="7" t="s">
        <v>134</v>
      </c>
      <c r="C31" s="8" t="s">
        <v>135</v>
      </c>
      <c r="D31" s="49" t="s">
        <v>15</v>
      </c>
      <c r="E31" s="50" t="s">
        <v>15</v>
      </c>
      <c r="F31" s="51" t="s">
        <v>35</v>
      </c>
      <c r="G31" s="9">
        <f t="shared" si="5"/>
        <v>0</v>
      </c>
      <c r="H31" s="10" t="s">
        <v>6</v>
      </c>
      <c r="I31" s="11" t="s">
        <v>7</v>
      </c>
      <c r="J31" s="17"/>
      <c r="K31" s="53">
        <f t="shared" si="1"/>
        <v>1</v>
      </c>
      <c r="L31">
        <f t="shared" si="2"/>
        <v>0</v>
      </c>
    </row>
    <row r="32" spans="1:12" ht="40" customHeight="1" x14ac:dyDescent="0.35">
      <c r="A32" s="16"/>
      <c r="B32" s="7" t="s">
        <v>136</v>
      </c>
      <c r="C32" s="8" t="s">
        <v>137</v>
      </c>
      <c r="D32" s="49" t="s">
        <v>15</v>
      </c>
      <c r="E32" s="50" t="s">
        <v>15</v>
      </c>
      <c r="F32" s="51" t="s">
        <v>35</v>
      </c>
      <c r="G32" s="9">
        <f t="shared" si="5"/>
        <v>0</v>
      </c>
      <c r="H32" s="10" t="s">
        <v>6</v>
      </c>
      <c r="I32" s="11" t="s">
        <v>7</v>
      </c>
      <c r="J32" s="17"/>
      <c r="K32" s="53">
        <f t="shared" si="1"/>
        <v>1</v>
      </c>
      <c r="L32">
        <f t="shared" si="2"/>
        <v>0</v>
      </c>
    </row>
    <row r="33" spans="1:12" ht="40" customHeight="1" x14ac:dyDescent="0.35">
      <c r="A33" s="16"/>
      <c r="B33" s="7" t="s">
        <v>138</v>
      </c>
      <c r="C33" s="8" t="s">
        <v>139</v>
      </c>
      <c r="D33" s="49" t="s">
        <v>15</v>
      </c>
      <c r="E33" s="50" t="s">
        <v>15</v>
      </c>
      <c r="F33" s="51" t="s">
        <v>35</v>
      </c>
      <c r="G33" s="9">
        <f t="shared" si="5"/>
        <v>0</v>
      </c>
      <c r="H33" s="10" t="s">
        <v>6</v>
      </c>
      <c r="I33" s="11" t="s">
        <v>7</v>
      </c>
      <c r="J33" s="17"/>
      <c r="K33" s="53">
        <f t="shared" si="1"/>
        <v>1</v>
      </c>
      <c r="L33">
        <f t="shared" si="2"/>
        <v>0</v>
      </c>
    </row>
    <row r="34" spans="1:12" ht="40" customHeight="1" x14ac:dyDescent="0.35">
      <c r="A34" s="16"/>
      <c r="B34" s="7" t="s">
        <v>140</v>
      </c>
      <c r="C34" s="8" t="s">
        <v>141</v>
      </c>
      <c r="D34" s="49" t="s">
        <v>15</v>
      </c>
      <c r="E34" s="50" t="s">
        <v>15</v>
      </c>
      <c r="F34" s="51" t="s">
        <v>35</v>
      </c>
      <c r="G34" s="9">
        <f t="shared" si="5"/>
        <v>0</v>
      </c>
      <c r="H34" s="10" t="s">
        <v>6</v>
      </c>
      <c r="I34" s="11" t="s">
        <v>7</v>
      </c>
      <c r="J34" s="17"/>
      <c r="K34" s="53">
        <f t="shared" si="1"/>
        <v>1</v>
      </c>
      <c r="L34">
        <f t="shared" si="2"/>
        <v>0</v>
      </c>
    </row>
    <row r="35" spans="1:12" ht="40" customHeight="1" x14ac:dyDescent="0.35">
      <c r="A35" s="16"/>
      <c r="B35" s="7" t="s">
        <v>142</v>
      </c>
      <c r="C35" s="8" t="s">
        <v>143</v>
      </c>
      <c r="D35" s="49" t="s">
        <v>15</v>
      </c>
      <c r="E35" s="50" t="s">
        <v>15</v>
      </c>
      <c r="F35" s="51" t="s">
        <v>35</v>
      </c>
      <c r="G35" s="9">
        <f t="shared" si="5"/>
        <v>0</v>
      </c>
      <c r="H35" s="10" t="s">
        <v>6</v>
      </c>
      <c r="I35" s="11" t="s">
        <v>7</v>
      </c>
      <c r="J35" s="17"/>
      <c r="K35" s="53">
        <f t="shared" si="1"/>
        <v>1</v>
      </c>
      <c r="L35">
        <f t="shared" si="2"/>
        <v>0</v>
      </c>
    </row>
    <row r="36" spans="1:12" ht="40" customHeight="1" x14ac:dyDescent="0.35">
      <c r="A36" s="16"/>
      <c r="B36" s="7" t="s">
        <v>144</v>
      </c>
      <c r="C36" s="8" t="s">
        <v>145</v>
      </c>
      <c r="D36" s="49" t="s">
        <v>15</v>
      </c>
      <c r="E36" s="50" t="s">
        <v>15</v>
      </c>
      <c r="F36" s="51" t="s">
        <v>35</v>
      </c>
      <c r="G36" s="9">
        <f t="shared" si="5"/>
        <v>0</v>
      </c>
      <c r="H36" s="10" t="s">
        <v>6</v>
      </c>
      <c r="I36" s="11" t="s">
        <v>7</v>
      </c>
      <c r="J36" s="17"/>
      <c r="K36" s="53">
        <f t="shared" si="1"/>
        <v>1</v>
      </c>
      <c r="L36">
        <f t="shared" si="2"/>
        <v>0</v>
      </c>
    </row>
    <row r="37" spans="1:12" ht="40" customHeight="1" x14ac:dyDescent="0.35">
      <c r="A37" s="16"/>
      <c r="B37" s="7" t="s">
        <v>146</v>
      </c>
      <c r="C37" s="8" t="s">
        <v>147</v>
      </c>
      <c r="D37" s="49" t="s">
        <v>15</v>
      </c>
      <c r="E37" s="50" t="s">
        <v>15</v>
      </c>
      <c r="F37" s="51" t="s">
        <v>35</v>
      </c>
      <c r="G37" s="9">
        <f t="shared" si="5"/>
        <v>0</v>
      </c>
      <c r="H37" s="10" t="s">
        <v>6</v>
      </c>
      <c r="I37" s="11" t="s">
        <v>7</v>
      </c>
      <c r="J37" s="17"/>
      <c r="K37" s="53">
        <f t="shared" si="1"/>
        <v>1</v>
      </c>
      <c r="L37">
        <f t="shared" si="2"/>
        <v>0</v>
      </c>
    </row>
    <row r="38" spans="1:12" ht="40" customHeight="1" x14ac:dyDescent="0.35">
      <c r="A38" s="16"/>
      <c r="B38" s="7" t="s">
        <v>148</v>
      </c>
      <c r="C38" s="8" t="s">
        <v>149</v>
      </c>
      <c r="D38" s="49" t="s">
        <v>15</v>
      </c>
      <c r="E38" s="50" t="s">
        <v>15</v>
      </c>
      <c r="F38" s="51" t="s">
        <v>35</v>
      </c>
      <c r="G38" s="9">
        <f t="shared" si="5"/>
        <v>0</v>
      </c>
      <c r="H38" s="10" t="s">
        <v>6</v>
      </c>
      <c r="I38" s="11" t="s">
        <v>7</v>
      </c>
      <c r="J38" s="17"/>
      <c r="K38" s="53">
        <f t="shared" si="1"/>
        <v>1</v>
      </c>
      <c r="L38">
        <f t="shared" si="2"/>
        <v>0</v>
      </c>
    </row>
    <row r="39" spans="1:12" ht="40" customHeight="1" x14ac:dyDescent="0.35">
      <c r="A39" s="16"/>
      <c r="B39" s="7" t="s">
        <v>150</v>
      </c>
      <c r="C39" s="8" t="s">
        <v>151</v>
      </c>
      <c r="D39" s="49" t="s">
        <v>15</v>
      </c>
      <c r="E39" s="50" t="s">
        <v>15</v>
      </c>
      <c r="F39" s="51" t="s">
        <v>35</v>
      </c>
      <c r="G39" s="9">
        <f t="shared" si="5"/>
        <v>0</v>
      </c>
      <c r="H39" s="10" t="s">
        <v>6</v>
      </c>
      <c r="I39" s="11" t="s">
        <v>7</v>
      </c>
      <c r="J39" s="17"/>
      <c r="K39" s="53">
        <f t="shared" si="1"/>
        <v>1</v>
      </c>
      <c r="L39">
        <f t="shared" si="2"/>
        <v>0</v>
      </c>
    </row>
    <row r="40" spans="1:12" ht="40" customHeight="1" x14ac:dyDescent="0.35">
      <c r="A40" s="16"/>
      <c r="B40" s="7" t="s">
        <v>152</v>
      </c>
      <c r="C40" s="8" t="s">
        <v>153</v>
      </c>
      <c r="D40" s="49" t="s">
        <v>15</v>
      </c>
      <c r="E40" s="50" t="s">
        <v>15</v>
      </c>
      <c r="F40" s="51" t="s">
        <v>35</v>
      </c>
      <c r="G40" s="9">
        <f t="shared" si="5"/>
        <v>0</v>
      </c>
      <c r="H40" s="10" t="s">
        <v>6</v>
      </c>
      <c r="I40" s="11" t="s">
        <v>7</v>
      </c>
      <c r="J40" s="17"/>
      <c r="K40" s="53">
        <f t="shared" si="1"/>
        <v>1</v>
      </c>
      <c r="L40">
        <f t="shared" si="2"/>
        <v>0</v>
      </c>
    </row>
    <row r="41" spans="1:12" ht="40" customHeight="1" x14ac:dyDescent="0.35">
      <c r="A41" s="16"/>
      <c r="B41" s="7" t="s">
        <v>154</v>
      </c>
      <c r="C41" s="8" t="s">
        <v>155</v>
      </c>
      <c r="D41" s="49" t="s">
        <v>15</v>
      </c>
      <c r="E41" s="50" t="s">
        <v>15</v>
      </c>
      <c r="F41" s="51" t="s">
        <v>35</v>
      </c>
      <c r="G41" s="9">
        <f t="shared" si="5"/>
        <v>0</v>
      </c>
      <c r="H41" s="10" t="s">
        <v>6</v>
      </c>
      <c r="I41" s="11" t="s">
        <v>7</v>
      </c>
      <c r="J41" s="17"/>
      <c r="K41" s="53">
        <f t="shared" si="1"/>
        <v>1</v>
      </c>
      <c r="L41">
        <f t="shared" si="2"/>
        <v>0</v>
      </c>
    </row>
    <row r="42" spans="1:12" x14ac:dyDescent="0.35">
      <c r="A42" s="16"/>
      <c r="B42" s="12"/>
      <c r="C42" s="12"/>
      <c r="D42" s="12"/>
      <c r="E42" s="12"/>
      <c r="F42" s="12"/>
      <c r="G42" s="12"/>
      <c r="H42" s="12"/>
      <c r="I42" s="12"/>
      <c r="J42" s="17"/>
      <c r="K42" s="53">
        <f t="shared" si="1"/>
        <v>0</v>
      </c>
      <c r="L42" t="str">
        <f t="shared" si="2"/>
        <v/>
      </c>
    </row>
    <row r="43" spans="1:12" ht="15" customHeight="1" x14ac:dyDescent="0.35">
      <c r="A43" s="16"/>
      <c r="B43" s="63" t="s">
        <v>9</v>
      </c>
      <c r="C43" s="63"/>
      <c r="D43" s="63"/>
      <c r="E43" s="63"/>
      <c r="F43" s="63"/>
      <c r="G43" s="63"/>
      <c r="H43" s="63"/>
      <c r="I43" s="63"/>
      <c r="J43" s="17"/>
      <c r="K43" s="53">
        <f t="shared" si="1"/>
        <v>0</v>
      </c>
      <c r="L43" t="str">
        <f t="shared" si="2"/>
        <v/>
      </c>
    </row>
    <row r="44" spans="1:12" ht="29" x14ac:dyDescent="0.35">
      <c r="A44" s="16"/>
      <c r="B44" s="6" t="s">
        <v>1</v>
      </c>
      <c r="C44" s="6" t="s">
        <v>30</v>
      </c>
      <c r="D44" s="6" t="s">
        <v>2</v>
      </c>
      <c r="E44" s="6" t="s">
        <v>3</v>
      </c>
      <c r="F44" s="6" t="s">
        <v>4</v>
      </c>
      <c r="G44" s="6" t="s">
        <v>5</v>
      </c>
      <c r="H44" s="64" t="s">
        <v>17</v>
      </c>
      <c r="I44" s="64"/>
      <c r="J44" s="17"/>
      <c r="K44" s="53">
        <f t="shared" si="1"/>
        <v>0</v>
      </c>
      <c r="L44">
        <f t="shared" si="2"/>
        <v>0</v>
      </c>
    </row>
    <row r="45" spans="1:12" ht="40" customHeight="1" x14ac:dyDescent="0.35">
      <c r="A45" s="16"/>
      <c r="B45" s="7" t="s">
        <v>98</v>
      </c>
      <c r="C45" s="8" t="s">
        <v>99</v>
      </c>
      <c r="D45" s="49" t="s">
        <v>32</v>
      </c>
      <c r="E45" s="50" t="s">
        <v>15</v>
      </c>
      <c r="F45" s="51" t="s">
        <v>35</v>
      </c>
      <c r="G45" s="9">
        <f t="shared" ref="G45:G56" si="6">IF(D45="","",IF(D45="No",0,0.4+IF(E45="Si",0.3,0)+IF(F45="Actualizado",0.3,IF(F45="Desactualizado",0.15,0))))</f>
        <v>0.4</v>
      </c>
      <c r="H45" s="10" t="s">
        <v>6</v>
      </c>
      <c r="I45" s="11" t="s">
        <v>7</v>
      </c>
      <c r="J45" s="17"/>
      <c r="K45" s="53">
        <f t="shared" si="1"/>
        <v>1</v>
      </c>
      <c r="L45">
        <f t="shared" si="2"/>
        <v>0</v>
      </c>
    </row>
    <row r="46" spans="1:12" ht="40" customHeight="1" x14ac:dyDescent="0.35">
      <c r="A46" s="16"/>
      <c r="B46" s="7" t="s">
        <v>100</v>
      </c>
      <c r="C46" s="8" t="s">
        <v>101</v>
      </c>
      <c r="D46" s="49" t="s">
        <v>32</v>
      </c>
      <c r="E46" s="50" t="s">
        <v>32</v>
      </c>
      <c r="F46" s="51" t="s">
        <v>34</v>
      </c>
      <c r="G46" s="9">
        <f t="shared" si="6"/>
        <v>0.85</v>
      </c>
      <c r="H46" s="10" t="s">
        <v>6</v>
      </c>
      <c r="I46" s="11" t="s">
        <v>7</v>
      </c>
      <c r="J46" s="17"/>
      <c r="K46" s="53">
        <f t="shared" si="1"/>
        <v>1</v>
      </c>
      <c r="L46">
        <f t="shared" si="2"/>
        <v>0</v>
      </c>
    </row>
    <row r="47" spans="1:12" ht="40" customHeight="1" x14ac:dyDescent="0.35">
      <c r="A47" s="16"/>
      <c r="B47" s="7" t="s">
        <v>102</v>
      </c>
      <c r="C47" s="8" t="s">
        <v>103</v>
      </c>
      <c r="D47" s="49" t="s">
        <v>32</v>
      </c>
      <c r="E47" s="50" t="s">
        <v>15</v>
      </c>
      <c r="F47" s="51" t="s">
        <v>35</v>
      </c>
      <c r="G47" s="9">
        <f t="shared" si="6"/>
        <v>0.4</v>
      </c>
      <c r="H47" s="10" t="s">
        <v>6</v>
      </c>
      <c r="I47" s="11" t="s">
        <v>7</v>
      </c>
      <c r="J47" s="17"/>
      <c r="K47" s="53">
        <f t="shared" si="1"/>
        <v>1</v>
      </c>
      <c r="L47">
        <f t="shared" si="2"/>
        <v>0</v>
      </c>
    </row>
    <row r="48" spans="1:12" ht="40" customHeight="1" x14ac:dyDescent="0.35">
      <c r="A48" s="16"/>
      <c r="B48" s="7" t="s">
        <v>104</v>
      </c>
      <c r="C48" s="8" t="s">
        <v>105</v>
      </c>
      <c r="D48" s="49" t="s">
        <v>32</v>
      </c>
      <c r="E48" s="50" t="s">
        <v>15</v>
      </c>
      <c r="F48" s="51" t="s">
        <v>35</v>
      </c>
      <c r="G48" s="9">
        <f t="shared" si="6"/>
        <v>0.4</v>
      </c>
      <c r="H48" s="10" t="s">
        <v>6</v>
      </c>
      <c r="I48" s="11" t="s">
        <v>7</v>
      </c>
      <c r="J48" s="17"/>
      <c r="K48" s="53">
        <f t="shared" si="1"/>
        <v>1</v>
      </c>
      <c r="L48">
        <f t="shared" si="2"/>
        <v>0</v>
      </c>
    </row>
    <row r="49" spans="1:12" ht="40" customHeight="1" x14ac:dyDescent="0.35">
      <c r="A49" s="16"/>
      <c r="B49" s="7" t="s">
        <v>106</v>
      </c>
      <c r="C49" s="8" t="s">
        <v>107</v>
      </c>
      <c r="D49" s="49" t="s">
        <v>32</v>
      </c>
      <c r="E49" s="50" t="s">
        <v>15</v>
      </c>
      <c r="F49" s="51" t="s">
        <v>35</v>
      </c>
      <c r="G49" s="9">
        <f t="shared" si="6"/>
        <v>0.4</v>
      </c>
      <c r="H49" s="10" t="s">
        <v>6</v>
      </c>
      <c r="I49" s="11" t="s">
        <v>7</v>
      </c>
      <c r="J49" s="17"/>
      <c r="K49" s="53">
        <f t="shared" si="1"/>
        <v>1</v>
      </c>
      <c r="L49">
        <f t="shared" si="2"/>
        <v>0</v>
      </c>
    </row>
    <row r="50" spans="1:12" ht="40" customHeight="1" x14ac:dyDescent="0.35">
      <c r="A50" s="16"/>
      <c r="B50" s="7" t="s">
        <v>108</v>
      </c>
      <c r="C50" s="8" t="s">
        <v>109</v>
      </c>
      <c r="D50" s="49" t="s">
        <v>15</v>
      </c>
      <c r="E50" s="50" t="s">
        <v>15</v>
      </c>
      <c r="F50" s="51" t="s">
        <v>35</v>
      </c>
      <c r="G50" s="9">
        <f t="shared" si="6"/>
        <v>0</v>
      </c>
      <c r="H50" s="10" t="s">
        <v>6</v>
      </c>
      <c r="I50" s="11" t="s">
        <v>7</v>
      </c>
      <c r="J50" s="17"/>
      <c r="K50" s="53">
        <f t="shared" si="1"/>
        <v>1</v>
      </c>
      <c r="L50">
        <f t="shared" si="2"/>
        <v>0</v>
      </c>
    </row>
    <row r="51" spans="1:12" ht="40" customHeight="1" x14ac:dyDescent="0.35">
      <c r="A51" s="16"/>
      <c r="B51" s="7" t="s">
        <v>110</v>
      </c>
      <c r="C51" s="8" t="s">
        <v>111</v>
      </c>
      <c r="D51" s="49" t="s">
        <v>15</v>
      </c>
      <c r="E51" s="50" t="s">
        <v>15</v>
      </c>
      <c r="F51" s="51" t="s">
        <v>35</v>
      </c>
      <c r="G51" s="9">
        <f t="shared" si="6"/>
        <v>0</v>
      </c>
      <c r="H51" s="10" t="s">
        <v>6</v>
      </c>
      <c r="I51" s="11" t="s">
        <v>7</v>
      </c>
      <c r="J51" s="17"/>
      <c r="K51" s="53">
        <f t="shared" si="1"/>
        <v>1</v>
      </c>
      <c r="L51">
        <f t="shared" si="2"/>
        <v>0</v>
      </c>
    </row>
    <row r="52" spans="1:12" ht="40" customHeight="1" x14ac:dyDescent="0.35">
      <c r="A52" s="16"/>
      <c r="B52" s="7" t="s">
        <v>112</v>
      </c>
      <c r="C52" s="8" t="s">
        <v>113</v>
      </c>
      <c r="D52" s="49" t="s">
        <v>32</v>
      </c>
      <c r="E52" s="50" t="s">
        <v>15</v>
      </c>
      <c r="F52" s="51" t="s">
        <v>35</v>
      </c>
      <c r="G52" s="9">
        <f t="shared" si="6"/>
        <v>0.4</v>
      </c>
      <c r="H52" s="10" t="s">
        <v>6</v>
      </c>
      <c r="I52" s="11" t="s">
        <v>7</v>
      </c>
      <c r="J52" s="17"/>
      <c r="K52" s="53">
        <f t="shared" si="1"/>
        <v>1</v>
      </c>
      <c r="L52">
        <f t="shared" si="2"/>
        <v>0</v>
      </c>
    </row>
    <row r="53" spans="1:12" ht="40" customHeight="1" x14ac:dyDescent="0.35">
      <c r="A53" s="16"/>
      <c r="B53" s="7" t="s">
        <v>114</v>
      </c>
      <c r="C53" s="8" t="s">
        <v>115</v>
      </c>
      <c r="D53" s="49" t="s">
        <v>32</v>
      </c>
      <c r="E53" s="50" t="s">
        <v>15</v>
      </c>
      <c r="F53" s="51" t="s">
        <v>35</v>
      </c>
      <c r="G53" s="9">
        <f t="shared" si="6"/>
        <v>0.4</v>
      </c>
      <c r="H53" s="10" t="s">
        <v>6</v>
      </c>
      <c r="I53" s="11" t="s">
        <v>7</v>
      </c>
      <c r="J53" s="17"/>
      <c r="K53" s="53">
        <f t="shared" si="1"/>
        <v>1</v>
      </c>
      <c r="L53">
        <f t="shared" si="2"/>
        <v>0</v>
      </c>
    </row>
    <row r="54" spans="1:12" ht="40" customHeight="1" x14ac:dyDescent="0.35">
      <c r="A54" s="16"/>
      <c r="B54" s="7" t="s">
        <v>116</v>
      </c>
      <c r="C54" s="8" t="s">
        <v>117</v>
      </c>
      <c r="D54" s="49" t="s">
        <v>32</v>
      </c>
      <c r="E54" s="50" t="s">
        <v>15</v>
      </c>
      <c r="F54" s="51" t="s">
        <v>35</v>
      </c>
      <c r="G54" s="9">
        <f t="shared" si="6"/>
        <v>0.4</v>
      </c>
      <c r="H54" s="10" t="s">
        <v>6</v>
      </c>
      <c r="I54" s="11" t="s">
        <v>7</v>
      </c>
      <c r="J54" s="17"/>
      <c r="K54" s="53">
        <f t="shared" si="1"/>
        <v>1</v>
      </c>
      <c r="L54">
        <f t="shared" si="2"/>
        <v>0</v>
      </c>
    </row>
    <row r="55" spans="1:12" ht="40" customHeight="1" x14ac:dyDescent="0.35">
      <c r="A55" s="16"/>
      <c r="B55" s="7" t="s">
        <v>118</v>
      </c>
      <c r="C55" s="8" t="s">
        <v>119</v>
      </c>
      <c r="D55" s="49" t="s">
        <v>32</v>
      </c>
      <c r="E55" s="50" t="s">
        <v>15</v>
      </c>
      <c r="F55" s="51" t="s">
        <v>35</v>
      </c>
      <c r="G55" s="9">
        <f t="shared" si="6"/>
        <v>0.4</v>
      </c>
      <c r="H55" s="10" t="s">
        <v>6</v>
      </c>
      <c r="I55" s="11" t="s">
        <v>7</v>
      </c>
      <c r="J55" s="17"/>
      <c r="K55" s="53">
        <f t="shared" si="1"/>
        <v>1</v>
      </c>
      <c r="L55">
        <f t="shared" si="2"/>
        <v>0</v>
      </c>
    </row>
    <row r="56" spans="1:12" ht="40" customHeight="1" x14ac:dyDescent="0.35">
      <c r="A56" s="16"/>
      <c r="B56" s="7" t="s">
        <v>120</v>
      </c>
      <c r="C56" s="8" t="s">
        <v>121</v>
      </c>
      <c r="D56" s="49" t="s">
        <v>32</v>
      </c>
      <c r="E56" s="50" t="s">
        <v>15</v>
      </c>
      <c r="F56" s="51" t="s">
        <v>35</v>
      </c>
      <c r="G56" s="9">
        <f t="shared" si="6"/>
        <v>0.4</v>
      </c>
      <c r="H56" s="10" t="s">
        <v>6</v>
      </c>
      <c r="I56" s="11" t="s">
        <v>7</v>
      </c>
      <c r="J56" s="17"/>
      <c r="K56" s="53">
        <f t="shared" si="1"/>
        <v>1</v>
      </c>
      <c r="L56">
        <f t="shared" si="2"/>
        <v>0</v>
      </c>
    </row>
    <row r="57" spans="1:12" x14ac:dyDescent="0.35">
      <c r="A57" s="16"/>
      <c r="B57" s="12"/>
      <c r="C57" s="12"/>
      <c r="D57" s="12"/>
      <c r="E57" s="12"/>
      <c r="F57" s="12"/>
      <c r="G57" s="12"/>
      <c r="H57" s="12"/>
      <c r="I57" s="12"/>
      <c r="J57" s="17"/>
      <c r="K57" s="53">
        <f t="shared" si="1"/>
        <v>0</v>
      </c>
      <c r="L57" t="str">
        <f t="shared" si="2"/>
        <v/>
      </c>
    </row>
    <row r="58" spans="1:12" ht="15" customHeight="1" x14ac:dyDescent="0.35">
      <c r="A58" s="16"/>
      <c r="B58" s="63" t="s">
        <v>10</v>
      </c>
      <c r="C58" s="63"/>
      <c r="D58" s="63"/>
      <c r="E58" s="63"/>
      <c r="F58" s="63"/>
      <c r="G58" s="63"/>
      <c r="H58" s="63"/>
      <c r="I58" s="63"/>
      <c r="J58" s="17"/>
      <c r="K58" s="53">
        <f t="shared" si="1"/>
        <v>0</v>
      </c>
      <c r="L58" t="str">
        <f t="shared" si="2"/>
        <v/>
      </c>
    </row>
    <row r="59" spans="1:12" ht="29" x14ac:dyDescent="0.35">
      <c r="A59" s="16"/>
      <c r="B59" s="6" t="s">
        <v>1</v>
      </c>
      <c r="C59" s="6" t="s">
        <v>30</v>
      </c>
      <c r="D59" s="6" t="s">
        <v>2</v>
      </c>
      <c r="E59" s="6" t="s">
        <v>3</v>
      </c>
      <c r="F59" s="6" t="s">
        <v>4</v>
      </c>
      <c r="G59" s="6" t="s">
        <v>5</v>
      </c>
      <c r="H59" s="64" t="s">
        <v>17</v>
      </c>
      <c r="I59" s="64"/>
      <c r="J59" s="17"/>
      <c r="K59" s="53">
        <f t="shared" si="1"/>
        <v>0</v>
      </c>
      <c r="L59">
        <f t="shared" si="2"/>
        <v>0</v>
      </c>
    </row>
    <row r="60" spans="1:12" ht="40" customHeight="1" x14ac:dyDescent="0.35">
      <c r="A60" s="16"/>
      <c r="B60" s="7" t="s">
        <v>88</v>
      </c>
      <c r="C60" s="8" t="s">
        <v>89</v>
      </c>
      <c r="D60" s="49" t="s">
        <v>32</v>
      </c>
      <c r="E60" s="50" t="s">
        <v>15</v>
      </c>
      <c r="F60" s="51" t="s">
        <v>35</v>
      </c>
      <c r="G60" s="9">
        <f t="shared" ref="G60:G64" si="7">IF(D60="","",IF(D60="No",0,0.4+IF(E60="Si",0.3,0)+IF(F60="Actualizado",0.3,IF(F60="Desactualizado",0.15,0))))</f>
        <v>0.4</v>
      </c>
      <c r="H60" s="10" t="s">
        <v>6</v>
      </c>
      <c r="I60" s="11" t="s">
        <v>7</v>
      </c>
      <c r="J60" s="17"/>
      <c r="K60" s="53">
        <f t="shared" si="1"/>
        <v>1</v>
      </c>
      <c r="L60">
        <f t="shared" si="2"/>
        <v>0</v>
      </c>
    </row>
    <row r="61" spans="1:12" ht="40" customHeight="1" x14ac:dyDescent="0.35">
      <c r="A61" s="16"/>
      <c r="B61" s="7" t="s">
        <v>90</v>
      </c>
      <c r="C61" s="8" t="s">
        <v>91</v>
      </c>
      <c r="D61" s="49" t="s">
        <v>32</v>
      </c>
      <c r="E61" s="50" t="s">
        <v>15</v>
      </c>
      <c r="F61" s="51" t="s">
        <v>35</v>
      </c>
      <c r="G61" s="9">
        <f t="shared" si="7"/>
        <v>0.4</v>
      </c>
      <c r="H61" s="10" t="s">
        <v>6</v>
      </c>
      <c r="I61" s="11" t="s">
        <v>7</v>
      </c>
      <c r="J61" s="17"/>
      <c r="K61" s="53">
        <f t="shared" si="1"/>
        <v>1</v>
      </c>
      <c r="L61">
        <f t="shared" si="2"/>
        <v>0</v>
      </c>
    </row>
    <row r="62" spans="1:12" ht="40" customHeight="1" x14ac:dyDescent="0.35">
      <c r="A62" s="16"/>
      <c r="B62" s="7" t="s">
        <v>92</v>
      </c>
      <c r="C62" s="8" t="s">
        <v>93</v>
      </c>
      <c r="D62" s="49" t="s">
        <v>32</v>
      </c>
      <c r="E62" s="50" t="s">
        <v>15</v>
      </c>
      <c r="F62" s="51" t="s">
        <v>35</v>
      </c>
      <c r="G62" s="9">
        <f t="shared" si="7"/>
        <v>0.4</v>
      </c>
      <c r="H62" s="10" t="s">
        <v>6</v>
      </c>
      <c r="I62" s="11" t="s">
        <v>7</v>
      </c>
      <c r="J62" s="17"/>
      <c r="K62" s="53">
        <f t="shared" si="1"/>
        <v>1</v>
      </c>
      <c r="L62">
        <f t="shared" si="2"/>
        <v>0</v>
      </c>
    </row>
    <row r="63" spans="1:12" ht="40" customHeight="1" x14ac:dyDescent="0.35">
      <c r="A63" s="16"/>
      <c r="B63" s="7" t="s">
        <v>94</v>
      </c>
      <c r="C63" s="8" t="s">
        <v>95</v>
      </c>
      <c r="D63" s="49" t="s">
        <v>32</v>
      </c>
      <c r="E63" s="50" t="s">
        <v>15</v>
      </c>
      <c r="F63" s="51" t="s">
        <v>35</v>
      </c>
      <c r="G63" s="9">
        <f t="shared" si="7"/>
        <v>0.4</v>
      </c>
      <c r="H63" s="10" t="s">
        <v>6</v>
      </c>
      <c r="I63" s="11" t="s">
        <v>7</v>
      </c>
      <c r="J63" s="17"/>
      <c r="K63" s="53">
        <f t="shared" si="1"/>
        <v>1</v>
      </c>
      <c r="L63">
        <f t="shared" si="2"/>
        <v>0</v>
      </c>
    </row>
    <row r="64" spans="1:12" ht="40" customHeight="1" x14ac:dyDescent="0.35">
      <c r="A64" s="16"/>
      <c r="B64" s="7" t="s">
        <v>96</v>
      </c>
      <c r="C64" s="8" t="s">
        <v>97</v>
      </c>
      <c r="D64" s="49" t="s">
        <v>32</v>
      </c>
      <c r="E64" s="50" t="s">
        <v>15</v>
      </c>
      <c r="F64" s="51" t="s">
        <v>35</v>
      </c>
      <c r="G64" s="9">
        <f t="shared" si="7"/>
        <v>0.4</v>
      </c>
      <c r="H64" s="10" t="s">
        <v>6</v>
      </c>
      <c r="I64" s="11" t="s">
        <v>7</v>
      </c>
      <c r="J64" s="17"/>
      <c r="K64" s="53">
        <f t="shared" si="1"/>
        <v>1</v>
      </c>
      <c r="L64">
        <f t="shared" si="2"/>
        <v>0</v>
      </c>
    </row>
    <row r="65" spans="1:12" x14ac:dyDescent="0.35">
      <c r="A65" s="16"/>
      <c r="B65" s="12"/>
      <c r="C65" s="12"/>
      <c r="D65" s="12"/>
      <c r="E65" s="12"/>
      <c r="F65" s="12"/>
      <c r="G65" s="12"/>
      <c r="H65" s="12"/>
      <c r="I65" s="12"/>
      <c r="J65" s="17"/>
      <c r="K65" s="53">
        <f t="shared" si="1"/>
        <v>0</v>
      </c>
      <c r="L65" t="str">
        <f t="shared" si="2"/>
        <v/>
      </c>
    </row>
    <row r="66" spans="1:12" ht="15" customHeight="1" x14ac:dyDescent="0.35">
      <c r="A66" s="16"/>
      <c r="B66" s="63" t="s">
        <v>11</v>
      </c>
      <c r="C66" s="63"/>
      <c r="D66" s="63"/>
      <c r="E66" s="63"/>
      <c r="F66" s="63"/>
      <c r="G66" s="63"/>
      <c r="H66" s="63"/>
      <c r="I66" s="63"/>
      <c r="J66" s="17"/>
      <c r="K66" s="53">
        <f t="shared" si="1"/>
        <v>0</v>
      </c>
      <c r="L66" t="str">
        <f t="shared" si="2"/>
        <v/>
      </c>
    </row>
    <row r="67" spans="1:12" ht="29" x14ac:dyDescent="0.35">
      <c r="A67" s="16"/>
      <c r="B67" s="6" t="s">
        <v>1</v>
      </c>
      <c r="C67" s="6" t="s">
        <v>30</v>
      </c>
      <c r="D67" s="6" t="s">
        <v>2</v>
      </c>
      <c r="E67" s="6" t="s">
        <v>3</v>
      </c>
      <c r="F67" s="6" t="s">
        <v>4</v>
      </c>
      <c r="G67" s="6" t="s">
        <v>5</v>
      </c>
      <c r="H67" s="64" t="s">
        <v>17</v>
      </c>
      <c r="I67" s="64"/>
      <c r="J67" s="17"/>
      <c r="K67" s="53">
        <f t="shared" si="1"/>
        <v>0</v>
      </c>
      <c r="L67">
        <f t="shared" si="2"/>
        <v>0</v>
      </c>
    </row>
    <row r="68" spans="1:12" ht="40" customHeight="1" x14ac:dyDescent="0.35">
      <c r="A68" s="16"/>
      <c r="B68" s="7" t="s">
        <v>72</v>
      </c>
      <c r="C68" s="8" t="s">
        <v>73</v>
      </c>
      <c r="D68" s="49" t="s">
        <v>32</v>
      </c>
      <c r="E68" s="50" t="s">
        <v>15</v>
      </c>
      <c r="F68" s="51" t="s">
        <v>35</v>
      </c>
      <c r="G68" s="9">
        <f t="shared" ref="G68:G75" si="8">IF(D68="","",IF(D68="No",0,0.4+IF(E68="Si",0.3,0)+IF(F68="Actualizado",0.3,IF(F68="Desactualizado",0.15,0))))</f>
        <v>0.4</v>
      </c>
      <c r="H68" s="10" t="s">
        <v>6</v>
      </c>
      <c r="I68" s="11" t="s">
        <v>7</v>
      </c>
      <c r="J68" s="17"/>
      <c r="K68" s="53">
        <f t="shared" si="1"/>
        <v>1</v>
      </c>
      <c r="L68">
        <f t="shared" si="2"/>
        <v>0</v>
      </c>
    </row>
    <row r="69" spans="1:12" ht="40" customHeight="1" x14ac:dyDescent="0.35">
      <c r="A69" s="16"/>
      <c r="B69" s="7" t="s">
        <v>74</v>
      </c>
      <c r="C69" s="8" t="s">
        <v>75</v>
      </c>
      <c r="D69" s="49" t="s">
        <v>32</v>
      </c>
      <c r="E69" s="50" t="s">
        <v>15</v>
      </c>
      <c r="F69" s="51" t="s">
        <v>35</v>
      </c>
      <c r="G69" s="9">
        <f t="shared" si="8"/>
        <v>0.4</v>
      </c>
      <c r="H69" s="10" t="s">
        <v>6</v>
      </c>
      <c r="I69" s="11" t="s">
        <v>7</v>
      </c>
      <c r="J69" s="17"/>
      <c r="K69" s="53">
        <f t="shared" si="1"/>
        <v>1</v>
      </c>
      <c r="L69">
        <f t="shared" si="2"/>
        <v>0</v>
      </c>
    </row>
    <row r="70" spans="1:12" ht="40" customHeight="1" x14ac:dyDescent="0.35">
      <c r="A70" s="16"/>
      <c r="B70" s="7" t="s">
        <v>76</v>
      </c>
      <c r="C70" s="8" t="s">
        <v>77</v>
      </c>
      <c r="D70" s="49" t="s">
        <v>32</v>
      </c>
      <c r="E70" s="50" t="s">
        <v>15</v>
      </c>
      <c r="F70" s="51" t="s">
        <v>35</v>
      </c>
      <c r="G70" s="9">
        <f t="shared" si="8"/>
        <v>0.4</v>
      </c>
      <c r="H70" s="10" t="s">
        <v>6</v>
      </c>
      <c r="I70" s="11" t="s">
        <v>7</v>
      </c>
      <c r="J70" s="17"/>
      <c r="K70" s="53">
        <f t="shared" si="1"/>
        <v>1</v>
      </c>
      <c r="L70">
        <f t="shared" si="2"/>
        <v>0</v>
      </c>
    </row>
    <row r="71" spans="1:12" ht="40" customHeight="1" x14ac:dyDescent="0.35">
      <c r="A71" s="16"/>
      <c r="B71" s="7" t="s">
        <v>78</v>
      </c>
      <c r="C71" s="8" t="s">
        <v>79</v>
      </c>
      <c r="D71" s="49" t="s">
        <v>32</v>
      </c>
      <c r="E71" s="50" t="s">
        <v>15</v>
      </c>
      <c r="F71" s="51" t="s">
        <v>35</v>
      </c>
      <c r="G71" s="9">
        <f t="shared" si="8"/>
        <v>0.4</v>
      </c>
      <c r="H71" s="10" t="s">
        <v>6</v>
      </c>
      <c r="I71" s="11" t="s">
        <v>7</v>
      </c>
      <c r="J71" s="17"/>
      <c r="K71" s="53">
        <f t="shared" si="1"/>
        <v>1</v>
      </c>
      <c r="L71">
        <f t="shared" si="2"/>
        <v>0</v>
      </c>
    </row>
    <row r="72" spans="1:12" ht="40" customHeight="1" x14ac:dyDescent="0.35">
      <c r="A72" s="16"/>
      <c r="B72" s="7" t="s">
        <v>80</v>
      </c>
      <c r="C72" s="8" t="s">
        <v>81</v>
      </c>
      <c r="D72" s="49" t="s">
        <v>32</v>
      </c>
      <c r="E72" s="50" t="s">
        <v>15</v>
      </c>
      <c r="F72" s="51" t="s">
        <v>35</v>
      </c>
      <c r="G72" s="9">
        <f t="shared" si="8"/>
        <v>0.4</v>
      </c>
      <c r="H72" s="10" t="s">
        <v>6</v>
      </c>
      <c r="I72" s="11" t="s">
        <v>7</v>
      </c>
      <c r="J72" s="17"/>
      <c r="K72" s="53">
        <f t="shared" si="1"/>
        <v>1</v>
      </c>
      <c r="L72">
        <f t="shared" si="2"/>
        <v>0</v>
      </c>
    </row>
    <row r="73" spans="1:12" ht="40" customHeight="1" x14ac:dyDescent="0.35">
      <c r="A73" s="16"/>
      <c r="B73" s="7" t="s">
        <v>82</v>
      </c>
      <c r="C73" s="8" t="s">
        <v>83</v>
      </c>
      <c r="D73" s="49" t="s">
        <v>32</v>
      </c>
      <c r="E73" s="50" t="s">
        <v>15</v>
      </c>
      <c r="F73" s="51" t="s">
        <v>35</v>
      </c>
      <c r="G73" s="9">
        <f t="shared" si="8"/>
        <v>0.4</v>
      </c>
      <c r="H73" s="10" t="s">
        <v>6</v>
      </c>
      <c r="I73" s="11" t="s">
        <v>7</v>
      </c>
      <c r="J73" s="17"/>
      <c r="K73" s="53">
        <f t="shared" ref="K73:K85" si="9">IF(H73="Detalle:",1,0)</f>
        <v>1</v>
      </c>
      <c r="L73">
        <f t="shared" ref="L73:L85" si="10">IF(E73="","",IF(AND(E73="No",F73&lt;&gt;"Inexistente"),1,0))</f>
        <v>0</v>
      </c>
    </row>
    <row r="74" spans="1:12" ht="40" customHeight="1" x14ac:dyDescent="0.35">
      <c r="A74" s="16"/>
      <c r="B74" s="7" t="s">
        <v>84</v>
      </c>
      <c r="C74" s="8" t="s">
        <v>85</v>
      </c>
      <c r="D74" s="49" t="s">
        <v>32</v>
      </c>
      <c r="E74" s="50" t="s">
        <v>15</v>
      </c>
      <c r="F74" s="51" t="s">
        <v>35</v>
      </c>
      <c r="G74" s="9">
        <f t="shared" si="8"/>
        <v>0.4</v>
      </c>
      <c r="H74" s="10" t="s">
        <v>6</v>
      </c>
      <c r="I74" s="11" t="s">
        <v>7</v>
      </c>
      <c r="J74" s="17"/>
      <c r="K74" s="53">
        <f t="shared" si="9"/>
        <v>1</v>
      </c>
      <c r="L74">
        <f t="shared" si="10"/>
        <v>0</v>
      </c>
    </row>
    <row r="75" spans="1:12" ht="40" customHeight="1" x14ac:dyDescent="0.35">
      <c r="A75" s="16"/>
      <c r="B75" s="7" t="s">
        <v>86</v>
      </c>
      <c r="C75" s="8" t="s">
        <v>87</v>
      </c>
      <c r="D75" s="49" t="s">
        <v>15</v>
      </c>
      <c r="E75" s="50" t="s">
        <v>15</v>
      </c>
      <c r="F75" s="51" t="s">
        <v>35</v>
      </c>
      <c r="G75" s="9">
        <f t="shared" si="8"/>
        <v>0</v>
      </c>
      <c r="H75" s="10" t="s">
        <v>6</v>
      </c>
      <c r="I75" s="11" t="s">
        <v>7</v>
      </c>
      <c r="J75" s="17"/>
      <c r="K75" s="53">
        <f t="shared" si="9"/>
        <v>1</v>
      </c>
      <c r="L75">
        <f t="shared" si="10"/>
        <v>0</v>
      </c>
    </row>
    <row r="76" spans="1:12" x14ac:dyDescent="0.35">
      <c r="A76" s="16"/>
      <c r="B76" s="12"/>
      <c r="C76" s="12"/>
      <c r="D76" s="12"/>
      <c r="E76" s="12"/>
      <c r="F76" s="12"/>
      <c r="G76" s="12"/>
      <c r="H76" s="12"/>
      <c r="I76" s="12"/>
      <c r="J76" s="17"/>
      <c r="K76" s="53">
        <f t="shared" si="9"/>
        <v>0</v>
      </c>
      <c r="L76" t="str">
        <f t="shared" si="10"/>
        <v/>
      </c>
    </row>
    <row r="77" spans="1:12" ht="15" customHeight="1" x14ac:dyDescent="0.35">
      <c r="A77" s="16"/>
      <c r="B77" s="63" t="s">
        <v>12</v>
      </c>
      <c r="C77" s="63"/>
      <c r="D77" s="63"/>
      <c r="E77" s="63"/>
      <c r="F77" s="63"/>
      <c r="G77" s="63"/>
      <c r="H77" s="63"/>
      <c r="I77" s="63"/>
      <c r="J77" s="17"/>
      <c r="K77" s="53">
        <f t="shared" si="9"/>
        <v>0</v>
      </c>
      <c r="L77" t="str">
        <f t="shared" si="10"/>
        <v/>
      </c>
    </row>
    <row r="78" spans="1:12" ht="29" x14ac:dyDescent="0.35">
      <c r="A78" s="16"/>
      <c r="B78" s="6" t="s">
        <v>1</v>
      </c>
      <c r="C78" s="6" t="s">
        <v>30</v>
      </c>
      <c r="D78" s="6" t="s">
        <v>2</v>
      </c>
      <c r="E78" s="6" t="s">
        <v>3</v>
      </c>
      <c r="F78" s="6" t="s">
        <v>4</v>
      </c>
      <c r="G78" s="6" t="s">
        <v>5</v>
      </c>
      <c r="H78" s="64" t="s">
        <v>17</v>
      </c>
      <c r="I78" s="64"/>
      <c r="J78" s="17"/>
      <c r="K78" s="53">
        <f t="shared" si="9"/>
        <v>0</v>
      </c>
      <c r="L78">
        <f t="shared" si="10"/>
        <v>0</v>
      </c>
    </row>
    <row r="79" spans="1:12" ht="40" customHeight="1" x14ac:dyDescent="0.35">
      <c r="A79" s="16"/>
      <c r="B79" s="7" t="s">
        <v>58</v>
      </c>
      <c r="C79" s="8" t="s">
        <v>59</v>
      </c>
      <c r="D79" s="48" t="s">
        <v>32</v>
      </c>
      <c r="E79" s="50" t="s">
        <v>15</v>
      </c>
      <c r="F79" s="51" t="s">
        <v>35</v>
      </c>
      <c r="G79" s="9">
        <f t="shared" ref="G79:G85" si="11">IF(D79="","",IF(D79="No",0,0.4+IF(E79="Si",0.3,0)+IF(F79="Actualizado",0.3,IF(F79="Desactualizado",0.15,0))))</f>
        <v>0.4</v>
      </c>
      <c r="H79" s="10" t="s">
        <v>6</v>
      </c>
      <c r="I79" s="11" t="s">
        <v>7</v>
      </c>
      <c r="J79" s="17"/>
      <c r="K79" s="53">
        <f t="shared" si="9"/>
        <v>1</v>
      </c>
      <c r="L79">
        <f t="shared" si="10"/>
        <v>0</v>
      </c>
    </row>
    <row r="80" spans="1:12" ht="40" customHeight="1" x14ac:dyDescent="0.35">
      <c r="A80" s="16"/>
      <c r="B80" s="7" t="s">
        <v>60</v>
      </c>
      <c r="C80" s="8" t="s">
        <v>61</v>
      </c>
      <c r="D80" s="49" t="s">
        <v>15</v>
      </c>
      <c r="E80" s="50" t="s">
        <v>15</v>
      </c>
      <c r="F80" s="51" t="s">
        <v>35</v>
      </c>
      <c r="G80" s="9">
        <f t="shared" si="11"/>
        <v>0</v>
      </c>
      <c r="H80" s="10" t="s">
        <v>6</v>
      </c>
      <c r="I80" s="11" t="s">
        <v>7</v>
      </c>
      <c r="J80" s="17"/>
      <c r="K80" s="53">
        <f t="shared" si="9"/>
        <v>1</v>
      </c>
      <c r="L80">
        <f t="shared" si="10"/>
        <v>0</v>
      </c>
    </row>
    <row r="81" spans="1:12" ht="40" customHeight="1" x14ac:dyDescent="0.35">
      <c r="A81" s="16"/>
      <c r="B81" s="7" t="s">
        <v>62</v>
      </c>
      <c r="C81" s="8" t="s">
        <v>63</v>
      </c>
      <c r="D81" s="49" t="s">
        <v>32</v>
      </c>
      <c r="E81" s="50" t="s">
        <v>15</v>
      </c>
      <c r="F81" s="51" t="s">
        <v>35</v>
      </c>
      <c r="G81" s="9">
        <f t="shared" si="11"/>
        <v>0.4</v>
      </c>
      <c r="H81" s="10" t="s">
        <v>6</v>
      </c>
      <c r="I81" s="11" t="s">
        <v>7</v>
      </c>
      <c r="J81" s="17"/>
      <c r="K81" s="53">
        <f t="shared" si="9"/>
        <v>1</v>
      </c>
      <c r="L81">
        <f t="shared" si="10"/>
        <v>0</v>
      </c>
    </row>
    <row r="82" spans="1:12" ht="40" customHeight="1" x14ac:dyDescent="0.35">
      <c r="A82" s="16"/>
      <c r="B82" s="7" t="s">
        <v>64</v>
      </c>
      <c r="C82" s="8" t="s">
        <v>65</v>
      </c>
      <c r="D82" s="49" t="s">
        <v>32</v>
      </c>
      <c r="E82" s="50" t="s">
        <v>15</v>
      </c>
      <c r="F82" s="51" t="s">
        <v>35</v>
      </c>
      <c r="G82" s="9">
        <f t="shared" si="11"/>
        <v>0.4</v>
      </c>
      <c r="H82" s="10" t="s">
        <v>6</v>
      </c>
      <c r="I82" s="11" t="s">
        <v>7</v>
      </c>
      <c r="J82" s="17"/>
      <c r="K82" s="53">
        <f t="shared" si="9"/>
        <v>1</v>
      </c>
      <c r="L82">
        <f t="shared" si="10"/>
        <v>0</v>
      </c>
    </row>
    <row r="83" spans="1:12" ht="40" customHeight="1" x14ac:dyDescent="0.35">
      <c r="A83" s="16"/>
      <c r="B83" s="7" t="s">
        <v>66</v>
      </c>
      <c r="C83" s="8" t="s">
        <v>67</v>
      </c>
      <c r="D83" s="49" t="s">
        <v>15</v>
      </c>
      <c r="E83" s="50" t="s">
        <v>15</v>
      </c>
      <c r="F83" s="51" t="s">
        <v>35</v>
      </c>
      <c r="G83" s="9">
        <f t="shared" si="11"/>
        <v>0</v>
      </c>
      <c r="H83" s="10" t="s">
        <v>6</v>
      </c>
      <c r="I83" s="11" t="s">
        <v>7</v>
      </c>
      <c r="J83" s="17"/>
      <c r="K83" s="53">
        <f t="shared" si="9"/>
        <v>1</v>
      </c>
      <c r="L83">
        <f t="shared" si="10"/>
        <v>0</v>
      </c>
    </row>
    <row r="84" spans="1:12" ht="40" customHeight="1" x14ac:dyDescent="0.35">
      <c r="A84" s="16"/>
      <c r="B84" s="7" t="s">
        <v>68</v>
      </c>
      <c r="C84" s="8" t="s">
        <v>69</v>
      </c>
      <c r="D84" s="49" t="s">
        <v>32</v>
      </c>
      <c r="E84" s="50" t="s">
        <v>15</v>
      </c>
      <c r="F84" s="51" t="s">
        <v>35</v>
      </c>
      <c r="G84" s="9">
        <f t="shared" si="11"/>
        <v>0.4</v>
      </c>
      <c r="H84" s="10" t="s">
        <v>6</v>
      </c>
      <c r="I84" s="11" t="s">
        <v>7</v>
      </c>
      <c r="J84" s="17"/>
      <c r="K84" s="53">
        <f t="shared" si="9"/>
        <v>1</v>
      </c>
      <c r="L84">
        <f t="shared" si="10"/>
        <v>0</v>
      </c>
    </row>
    <row r="85" spans="1:12" ht="40" customHeight="1" x14ac:dyDescent="0.35">
      <c r="A85" s="16"/>
      <c r="B85" s="7" t="s">
        <v>70</v>
      </c>
      <c r="C85" s="8" t="s">
        <v>71</v>
      </c>
      <c r="D85" s="52" t="s">
        <v>32</v>
      </c>
      <c r="E85" s="50" t="s">
        <v>15</v>
      </c>
      <c r="F85" s="51" t="s">
        <v>35</v>
      </c>
      <c r="G85" s="9">
        <f t="shared" si="11"/>
        <v>0.4</v>
      </c>
      <c r="H85" s="10" t="s">
        <v>6</v>
      </c>
      <c r="I85" s="11" t="s">
        <v>7</v>
      </c>
      <c r="J85" s="17"/>
      <c r="K85" s="53">
        <f t="shared" si="9"/>
        <v>1</v>
      </c>
      <c r="L85">
        <f t="shared" si="10"/>
        <v>0</v>
      </c>
    </row>
    <row r="86" spans="1:12" ht="15" thickBot="1" x14ac:dyDescent="0.4">
      <c r="A86" s="18"/>
      <c r="B86" s="20"/>
      <c r="C86" s="20"/>
      <c r="D86" s="20"/>
      <c r="E86" s="20"/>
      <c r="F86" s="20"/>
      <c r="G86" s="20"/>
      <c r="H86" s="20"/>
      <c r="I86" s="20"/>
      <c r="J86" s="19"/>
      <c r="L86" t="str">
        <f t="shared" ref="L86" si="12">IF(E86="","",IF(AND(E86="No",F86&lt;&gt;"Inexistente"),1,0))</f>
        <v/>
      </c>
    </row>
    <row r="87" spans="1:12" x14ac:dyDescent="0.35">
      <c r="A87" s="22"/>
      <c r="B87" s="23"/>
      <c r="C87" s="24"/>
      <c r="D87" s="23"/>
      <c r="E87" s="23"/>
      <c r="F87" s="23"/>
      <c r="G87" s="23"/>
      <c r="H87" s="23"/>
      <c r="I87" s="23"/>
      <c r="J87" s="25"/>
    </row>
    <row r="88" spans="1:12" x14ac:dyDescent="0.35">
      <c r="A88" s="26"/>
      <c r="B88" s="27"/>
      <c r="C88" s="28"/>
      <c r="D88" s="27"/>
      <c r="E88" s="27"/>
      <c r="F88" s="27"/>
      <c r="G88" s="27"/>
      <c r="H88" s="27"/>
      <c r="I88" s="27"/>
      <c r="J88" s="29"/>
    </row>
    <row r="89" spans="1:12" ht="19" thickBot="1" x14ac:dyDescent="0.4">
      <c r="A89" s="26"/>
      <c r="B89" s="74" t="s">
        <v>184</v>
      </c>
      <c r="C89" s="71"/>
      <c r="D89" s="71"/>
      <c r="E89" s="71"/>
      <c r="F89" s="71"/>
      <c r="G89" s="30">
        <f>IFERROR(AVERAGE(G8:G85),"")</f>
        <v>0.2420634920634922</v>
      </c>
      <c r="H89" s="27"/>
      <c r="I89" s="27"/>
      <c r="J89" s="29"/>
    </row>
    <row r="90" spans="1:12" ht="15" thickTop="1" x14ac:dyDescent="0.35">
      <c r="A90" s="26"/>
      <c r="B90" s="70" t="s">
        <v>185</v>
      </c>
      <c r="C90" s="71"/>
      <c r="D90" s="72" t="str">
        <f>COUNTIF(D8:D85,"si")&amp;"  Conformes / "&amp;COUNTIF(D8:D85,"no")&amp;"  No Conformes"</f>
        <v>34  Conformes / 29  No Conformes</v>
      </c>
      <c r="E90" s="73"/>
      <c r="F90" s="73"/>
      <c r="G90" s="27"/>
      <c r="H90" s="27"/>
      <c r="I90" s="27"/>
      <c r="J90" s="29"/>
    </row>
    <row r="91" spans="1:12" x14ac:dyDescent="0.35">
      <c r="A91" s="31"/>
      <c r="B91" s="70" t="s">
        <v>195</v>
      </c>
      <c r="C91" s="71"/>
      <c r="D91" s="72" t="str">
        <f>COUNTIF(E8:E85,"si")&amp;"  Elaborados / "&amp;COUNTIF(E8:E85,"no")&amp;"  No Elaborados"</f>
        <v>3  Elaborados / 60  No Elaborados</v>
      </c>
      <c r="E91" s="73"/>
      <c r="F91" s="73"/>
      <c r="G91" s="27"/>
      <c r="H91" s="27"/>
      <c r="I91" s="27"/>
      <c r="J91" s="29"/>
    </row>
    <row r="92" spans="1:12" ht="26.25" customHeight="1" x14ac:dyDescent="0.35">
      <c r="A92" s="32"/>
      <c r="B92" s="33"/>
      <c r="C92" s="34"/>
      <c r="D92" s="35"/>
      <c r="E92" s="35"/>
      <c r="F92" s="35"/>
      <c r="G92" s="35"/>
      <c r="H92" s="35"/>
      <c r="I92" s="35"/>
      <c r="J92" s="36"/>
    </row>
    <row r="93" spans="1:12" ht="41.25" customHeight="1" x14ac:dyDescent="0.35">
      <c r="A93" s="32"/>
      <c r="B93" s="33" t="b">
        <v>1</v>
      </c>
      <c r="C93" s="34"/>
      <c r="D93" s="37" t="s">
        <v>196</v>
      </c>
      <c r="E93" s="38" t="s">
        <v>49</v>
      </c>
      <c r="F93" s="37" t="s">
        <v>188</v>
      </c>
      <c r="G93" s="38"/>
      <c r="H93" s="39" t="s">
        <v>187</v>
      </c>
      <c r="I93" s="40">
        <v>46293</v>
      </c>
      <c r="J93" s="36"/>
    </row>
    <row r="94" spans="1:12" ht="41.25" customHeight="1" x14ac:dyDescent="0.35">
      <c r="A94" s="32"/>
      <c r="B94" s="33" t="b">
        <v>0</v>
      </c>
      <c r="C94" s="34"/>
      <c r="D94" s="37" t="s">
        <v>186</v>
      </c>
      <c r="E94" s="38" t="s">
        <v>45</v>
      </c>
      <c r="F94" s="37" t="s">
        <v>189</v>
      </c>
      <c r="G94" s="38"/>
      <c r="H94" s="39" t="s">
        <v>197</v>
      </c>
      <c r="I94" s="40" t="str">
        <f ca="1">IF(B94=FALSE,"",TODAY())</f>
        <v/>
      </c>
      <c r="J94" s="36"/>
    </row>
    <row r="95" spans="1:12" ht="41.25" customHeight="1" x14ac:dyDescent="0.35">
      <c r="A95" s="31"/>
      <c r="B95" s="41" t="b">
        <v>1</v>
      </c>
      <c r="C95" s="42"/>
      <c r="D95" s="37" t="s">
        <v>198</v>
      </c>
      <c r="E95" s="38" t="s">
        <v>191</v>
      </c>
      <c r="F95" s="37" t="s">
        <v>199</v>
      </c>
      <c r="G95" s="38"/>
      <c r="H95" s="39" t="s">
        <v>200</v>
      </c>
      <c r="I95" s="40">
        <v>46293</v>
      </c>
      <c r="J95" s="29"/>
    </row>
    <row r="96" spans="1:12" ht="15" thickBot="1" x14ac:dyDescent="0.4">
      <c r="A96" s="43"/>
      <c r="B96" s="44"/>
      <c r="C96" s="45"/>
      <c r="D96" s="46"/>
      <c r="E96" s="46"/>
      <c r="F96" s="46"/>
      <c r="G96" s="46"/>
      <c r="H96" s="46"/>
      <c r="I96" s="46"/>
      <c r="J96" s="47"/>
    </row>
  </sheetData>
  <mergeCells count="23">
    <mergeCell ref="B91:C91"/>
    <mergeCell ref="D91:F91"/>
    <mergeCell ref="B89:F89"/>
    <mergeCell ref="B90:C90"/>
    <mergeCell ref="D90:F90"/>
    <mergeCell ref="G1:I1"/>
    <mergeCell ref="F2:I2"/>
    <mergeCell ref="F3:I3"/>
    <mergeCell ref="D2:E2"/>
    <mergeCell ref="D1:E1"/>
    <mergeCell ref="D3:E3"/>
    <mergeCell ref="H7:I7"/>
    <mergeCell ref="B6:I6"/>
    <mergeCell ref="B23:I23"/>
    <mergeCell ref="B58:I58"/>
    <mergeCell ref="B66:I66"/>
    <mergeCell ref="B77:I77"/>
    <mergeCell ref="H24:I24"/>
    <mergeCell ref="H78:I78"/>
    <mergeCell ref="H67:I67"/>
    <mergeCell ref="H59:I59"/>
    <mergeCell ref="H44:I44"/>
    <mergeCell ref="B43:I43"/>
  </mergeCells>
  <conditionalFormatting sqref="F46:F47">
    <cfRule type="expression" dxfId="11" priority="12">
      <formula>$L46=1</formula>
    </cfRule>
  </conditionalFormatting>
  <conditionalFormatting sqref="F28:F29">
    <cfRule type="expression" dxfId="10" priority="11">
      <formula>$L28=1</formula>
    </cfRule>
  </conditionalFormatting>
  <conditionalFormatting sqref="F8">
    <cfRule type="expression" dxfId="9" priority="10">
      <formula>$L8=1</formula>
    </cfRule>
  </conditionalFormatting>
  <conditionalFormatting sqref="F9">
    <cfRule type="expression" dxfId="8" priority="9">
      <formula>$L9=1</formula>
    </cfRule>
  </conditionalFormatting>
  <conditionalFormatting sqref="F10:F21">
    <cfRule type="expression" dxfId="7" priority="8">
      <formula>$L10=1</formula>
    </cfRule>
  </conditionalFormatting>
  <conditionalFormatting sqref="F25:F27">
    <cfRule type="expression" dxfId="6" priority="7">
      <formula>$L25=1</formula>
    </cfRule>
  </conditionalFormatting>
  <conditionalFormatting sqref="F30:F41">
    <cfRule type="expression" dxfId="5" priority="6">
      <formula>$L30=1</formula>
    </cfRule>
  </conditionalFormatting>
  <conditionalFormatting sqref="F45">
    <cfRule type="expression" dxfId="4" priority="5">
      <formula>$L45=1</formula>
    </cfRule>
  </conditionalFormatting>
  <conditionalFormatting sqref="F48:F56">
    <cfRule type="expression" dxfId="3" priority="4">
      <formula>$L48=1</formula>
    </cfRule>
  </conditionalFormatting>
  <conditionalFormatting sqref="F60:F64">
    <cfRule type="expression" dxfId="2" priority="3">
      <formula>$L60=1</formula>
    </cfRule>
  </conditionalFormatting>
  <conditionalFormatting sqref="F68:F75">
    <cfRule type="expression" dxfId="1" priority="2">
      <formula>$L68=1</formula>
    </cfRule>
  </conditionalFormatting>
  <conditionalFormatting sqref="F79:F85">
    <cfRule type="expression" dxfId="0" priority="1">
      <formula>$L79=1</formula>
    </cfRule>
  </conditionalFormatting>
  <pageMargins left="0.75" right="0.75" top="1" bottom="1" header="0.5" footer="0.5"/>
  <pageSetup orientation="portrait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6</xdr:col>
                    <xdr:colOff>419100</xdr:colOff>
                    <xdr:row>92</xdr:row>
                    <xdr:rowOff>228600</xdr:rowOff>
                  </from>
                  <to>
                    <xdr:col>6</xdr:col>
                    <xdr:colOff>603250</xdr:colOff>
                    <xdr:row>92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6</xdr:col>
                    <xdr:colOff>419100</xdr:colOff>
                    <xdr:row>93</xdr:row>
                    <xdr:rowOff>184150</xdr:rowOff>
                  </from>
                  <to>
                    <xdr:col>6</xdr:col>
                    <xdr:colOff>603250</xdr:colOff>
                    <xdr:row>93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6</xdr:col>
                    <xdr:colOff>419100</xdr:colOff>
                    <xdr:row>94</xdr:row>
                    <xdr:rowOff>209550</xdr:rowOff>
                  </from>
                  <to>
                    <xdr:col>6</xdr:col>
                    <xdr:colOff>603250</xdr:colOff>
                    <xdr:row>94</xdr:row>
                    <xdr:rowOff>393700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>
          <x14:formula1>
            <xm:f>Datos!$A$15:$A$16</xm:f>
          </x14:formula1>
          <xm:sqref>D8:E21 D25:E41 D45:E56 D60:E64 D68:E75 D79:E85</xm:sqref>
        </x14:dataValidation>
        <x14:dataValidation type="list" allowBlank="1">
          <x14:formula1>
            <xm:f>Datos!$B$15:$B$17</xm:f>
          </x14:formula1>
          <xm:sqref>F60:F64 F68:F75 F8:F21 F25:F41 F45:F56 F79:F85</xm:sqref>
        </x14:dataValidation>
        <x14:dataValidation type="list" allowBlank="1" showInputMessage="1" showErrorMessage="1">
          <x14:formula1>
            <xm:f>Datos!$B$3:$B$11</xm:f>
          </x14:formula1>
          <xm:sqref>G1</xm:sqref>
        </x14:dataValidation>
        <x14:dataValidation type="list" allowBlank="1" showInputMessage="1" showErrorMessage="1">
          <x14:formula1>
            <xm:f>'Q:\Seguros Constitucion\Auditoria\Contraloria\2026\SISTEMAS\Plan de Trabajo\2026\2do Sem\Evaluaciones\[Cuestionario_Ciberseguridad_TI.xlsx]Datos'!#REF!</xm:f>
          </x14:formula1>
          <xm:sqref>E93:E94</xm:sqref>
        </x14:dataValidation>
        <x14:dataValidation type="list" allowBlank="1" showInputMessage="1" showErrorMessage="1">
          <x14:formula1>
            <xm:f>'Q:\Seguros Constitucion\Auditoria\Contraloria\2026\SISTEMAS\Plan de Trabajo\2026\2do Sem\Evaluaciones\[Cuestionario_Ciberseguridad_TI.xlsx]Datos'!#REF!</xm:f>
          </x14:formula1>
          <xm:sqref>E95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workbookViewId="0">
      <selection activeCell="C22" sqref="C22:D23"/>
    </sheetView>
  </sheetViews>
  <sheetFormatPr baseColWidth="10" defaultRowHeight="14.5" x14ac:dyDescent="0.35"/>
  <cols>
    <col min="2" max="2" width="30" customWidth="1"/>
    <col min="3" max="3" width="30.26953125" bestFit="1" customWidth="1"/>
    <col min="4" max="4" width="29.26953125" bestFit="1" customWidth="1"/>
  </cols>
  <sheetData>
    <row r="1" spans="1:4" ht="15.75" customHeight="1" x14ac:dyDescent="0.35">
      <c r="A1" s="75" t="s">
        <v>28</v>
      </c>
      <c r="B1" s="76"/>
      <c r="C1" s="76"/>
    </row>
    <row r="2" spans="1:4" x14ac:dyDescent="0.35">
      <c r="A2" s="3" t="s">
        <v>1</v>
      </c>
      <c r="B2" s="1" t="s">
        <v>20</v>
      </c>
      <c r="C2" s="1" t="s">
        <v>56</v>
      </c>
      <c r="D2" s="1" t="s">
        <v>18</v>
      </c>
    </row>
    <row r="3" spans="1:4" x14ac:dyDescent="0.35">
      <c r="A3" s="4">
        <v>1</v>
      </c>
      <c r="B3" s="2" t="s">
        <v>25</v>
      </c>
      <c r="C3" s="2" t="s">
        <v>37</v>
      </c>
      <c r="D3" s="5" t="s">
        <v>19</v>
      </c>
    </row>
    <row r="4" spans="1:4" x14ac:dyDescent="0.35">
      <c r="A4" s="4">
        <v>2</v>
      </c>
      <c r="B4" s="2" t="s">
        <v>26</v>
      </c>
      <c r="C4" s="2" t="s">
        <v>38</v>
      </c>
      <c r="D4" s="5" t="s">
        <v>19</v>
      </c>
    </row>
    <row r="5" spans="1:4" x14ac:dyDescent="0.35">
      <c r="A5" s="4">
        <v>3</v>
      </c>
      <c r="B5" s="2" t="s">
        <v>27</v>
      </c>
      <c r="C5" s="2" t="s">
        <v>39</v>
      </c>
      <c r="D5" s="5" t="s">
        <v>19</v>
      </c>
    </row>
    <row r="6" spans="1:4" x14ac:dyDescent="0.35">
      <c r="A6" s="4">
        <v>4</v>
      </c>
      <c r="B6" s="2" t="s">
        <v>22</v>
      </c>
      <c r="C6" s="2" t="s">
        <v>40</v>
      </c>
      <c r="D6" s="5" t="s">
        <v>46</v>
      </c>
    </row>
    <row r="7" spans="1:4" x14ac:dyDescent="0.35">
      <c r="A7" s="4">
        <v>5</v>
      </c>
      <c r="B7" s="2" t="s">
        <v>23</v>
      </c>
      <c r="C7" s="2" t="s">
        <v>41</v>
      </c>
      <c r="D7" s="5" t="s">
        <v>47</v>
      </c>
    </row>
    <row r="8" spans="1:4" x14ac:dyDescent="0.35">
      <c r="A8" s="4">
        <v>6</v>
      </c>
      <c r="B8" s="2" t="s">
        <v>24</v>
      </c>
      <c r="C8" s="2" t="s">
        <v>42</v>
      </c>
      <c r="D8" s="5" t="s">
        <v>48</v>
      </c>
    </row>
    <row r="9" spans="1:4" x14ac:dyDescent="0.35">
      <c r="A9" s="4">
        <v>7</v>
      </c>
      <c r="B9" s="2" t="s">
        <v>21</v>
      </c>
      <c r="C9" s="2" t="s">
        <v>43</v>
      </c>
      <c r="D9" s="5" t="s">
        <v>49</v>
      </c>
    </row>
    <row r="10" spans="1:4" x14ac:dyDescent="0.35">
      <c r="A10" s="4">
        <v>8</v>
      </c>
      <c r="B10" s="2" t="s">
        <v>50</v>
      </c>
      <c r="C10" s="2" t="s">
        <v>50</v>
      </c>
      <c r="D10" s="5" t="s">
        <v>36</v>
      </c>
    </row>
    <row r="11" spans="1:4" x14ac:dyDescent="0.35">
      <c r="A11" s="4">
        <v>9</v>
      </c>
      <c r="B11" s="2" t="s">
        <v>44</v>
      </c>
      <c r="C11" s="2" t="s">
        <v>44</v>
      </c>
      <c r="D11" s="5" t="s">
        <v>45</v>
      </c>
    </row>
    <row r="14" spans="1:4" x14ac:dyDescent="0.35">
      <c r="A14" s="3" t="s">
        <v>31</v>
      </c>
      <c r="B14" s="1" t="s">
        <v>51</v>
      </c>
    </row>
    <row r="15" spans="1:4" x14ac:dyDescent="0.35">
      <c r="A15" s="4" t="s">
        <v>32</v>
      </c>
      <c r="B15" s="2" t="s">
        <v>33</v>
      </c>
    </row>
    <row r="16" spans="1:4" x14ac:dyDescent="0.35">
      <c r="A16" s="4" t="s">
        <v>15</v>
      </c>
      <c r="B16" s="2" t="s">
        <v>34</v>
      </c>
    </row>
    <row r="17" spans="1:4" x14ac:dyDescent="0.35">
      <c r="A17" s="4"/>
      <c r="B17" s="2" t="s">
        <v>35</v>
      </c>
    </row>
    <row r="22" spans="1:4" x14ac:dyDescent="0.35">
      <c r="C22" s="2" t="s">
        <v>190</v>
      </c>
      <c r="D22" s="5" t="s">
        <v>191</v>
      </c>
    </row>
    <row r="23" spans="1:4" x14ac:dyDescent="0.35">
      <c r="C23" s="2" t="s">
        <v>192</v>
      </c>
      <c r="D23" s="5" t="s">
        <v>193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796875" defaultRowHeight="14.5" x14ac:dyDescent="0.35"/>
  <sheetData>
    <row r="1" spans="1:1" x14ac:dyDescent="0.35">
      <c r="A1" t="s">
        <v>13</v>
      </c>
    </row>
    <row r="2" spans="1:1" x14ac:dyDescent="0.35">
      <c r="A2" t="s">
        <v>14</v>
      </c>
    </row>
    <row r="3" spans="1:1" x14ac:dyDescent="0.35">
      <c r="A3" t="s">
        <v>15</v>
      </c>
    </row>
    <row r="4" spans="1:1" x14ac:dyDescent="0.35">
      <c r="A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Seguridad_de_TI</vt:lpstr>
      <vt:lpstr>Datos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Rafael Gomez Rodriguez</cp:lastModifiedBy>
  <dcterms:created xsi:type="dcterms:W3CDTF">2026-08-10T18:53:52Z</dcterms:created>
  <dcterms:modified xsi:type="dcterms:W3CDTF">2026-10-01T15:09:05Z</dcterms:modified>
</cp:coreProperties>
</file>