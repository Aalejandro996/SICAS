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gomez\Desktop\Auditoria TI 2026\Levantamiento Información\Gerencia de Tecnología\Servidores y Base de Datos\"/>
    </mc:Choice>
  </mc:AlternateContent>
  <bookViews>
    <workbookView xWindow="0" yWindow="0" windowWidth="19200" windowHeight="7050"/>
  </bookViews>
  <sheets>
    <sheet name="Base de Datos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'Base de Datos'!$B$7:$I$121</definedName>
  </definedNames>
  <calcPr calcId="162913"/>
</workbook>
</file>

<file path=xl/calcChain.xml><?xml version="1.0" encoding="utf-8"?>
<calcChain xmlns="http://schemas.openxmlformats.org/spreadsheetml/2006/main">
  <c r="P10" i="1" l="1"/>
  <c r="P9" i="1"/>
  <c r="P8" i="1"/>
  <c r="P6" i="1"/>
  <c r="P5" i="1"/>
  <c r="P4" i="1"/>
  <c r="P3" i="1"/>
  <c r="P2" i="1"/>
  <c r="Q13" i="1" s="1"/>
  <c r="S13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3" i="1"/>
  <c r="K13" i="1"/>
  <c r="L12" i="1"/>
  <c r="K12" i="1"/>
  <c r="L11" i="1"/>
  <c r="K11" i="1"/>
  <c r="L10" i="1"/>
  <c r="K10" i="1"/>
  <c r="L9" i="1"/>
  <c r="K9" i="1"/>
  <c r="L8" i="1"/>
  <c r="K8" i="1"/>
  <c r="L14" i="1"/>
  <c r="K14" i="1"/>
  <c r="D125" i="1" l="1"/>
  <c r="I129" i="1"/>
  <c r="D126" i="1"/>
  <c r="L121" i="1" l="1"/>
  <c r="G120" i="1"/>
  <c r="G119" i="1"/>
  <c r="G118" i="1"/>
  <c r="G117" i="1"/>
  <c r="G116" i="1"/>
  <c r="G115" i="1"/>
  <c r="G114" i="1"/>
  <c r="G113" i="1"/>
  <c r="G109" i="1"/>
  <c r="G108" i="1"/>
  <c r="G107" i="1"/>
  <c r="G106" i="1"/>
  <c r="G105" i="1"/>
  <c r="G104" i="1"/>
  <c r="G103" i="1"/>
  <c r="G102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78" i="1"/>
  <c r="G77" i="1"/>
  <c r="G76" i="1"/>
  <c r="G75" i="1"/>
  <c r="G74" i="1"/>
  <c r="G73" i="1"/>
  <c r="G72" i="1"/>
  <c r="G71" i="1"/>
  <c r="G70" i="1"/>
  <c r="G69" i="1"/>
  <c r="G68" i="1"/>
  <c r="G67" i="1"/>
  <c r="G63" i="1"/>
  <c r="G62" i="1"/>
  <c r="G61" i="1"/>
  <c r="G60" i="1"/>
  <c r="G59" i="1"/>
  <c r="G58" i="1"/>
  <c r="G57" i="1"/>
  <c r="G53" i="1" l="1"/>
  <c r="G52" i="1"/>
  <c r="G51" i="1"/>
  <c r="G50" i="1"/>
  <c r="G49" i="1"/>
  <c r="G48" i="1"/>
  <c r="G47" i="1"/>
  <c r="G43" i="1"/>
  <c r="G42" i="1"/>
  <c r="G41" i="1"/>
  <c r="G40" i="1"/>
  <c r="G39" i="1"/>
  <c r="G38" i="1"/>
  <c r="G37" i="1"/>
  <c r="G33" i="1"/>
  <c r="G32" i="1"/>
  <c r="G31" i="1"/>
  <c r="G30" i="1"/>
  <c r="G29" i="1"/>
  <c r="G28" i="1"/>
  <c r="G27" i="1"/>
  <c r="G26" i="1"/>
  <c r="G25" i="1"/>
  <c r="G24" i="1"/>
  <c r="G23" i="1"/>
  <c r="G22" i="1"/>
  <c r="G18" i="1"/>
  <c r="G17" i="1"/>
  <c r="G16" i="1"/>
  <c r="G15" i="1"/>
  <c r="G14" i="1"/>
  <c r="G13" i="1"/>
  <c r="G12" i="1"/>
  <c r="G11" i="1"/>
  <c r="G10" i="1"/>
  <c r="G8" i="1"/>
  <c r="G124" i="1" l="1"/>
  <c r="O13" i="1" s="1"/>
  <c r="P13" i="1" s="1"/>
  <c r="P7" i="1"/>
  <c r="G9" i="1"/>
  <c r="R13" i="1" s="1"/>
</calcChain>
</file>

<file path=xl/sharedStrings.xml><?xml version="1.0" encoding="utf-8"?>
<sst xmlns="http://schemas.openxmlformats.org/spreadsheetml/2006/main" count="795" uniqueCount="304">
  <si>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</si>
  <si>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</si>
  <si>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</si>
  <si>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</si>
  <si>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</si>
  <si>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</si>
  <si>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</si>
  <si>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Respuestas</t>
  </si>
  <si>
    <t>Sí</t>
  </si>
  <si>
    <t>No</t>
  </si>
  <si>
    <t>Parcialmente</t>
  </si>
  <si>
    <t>Observaciones</t>
  </si>
  <si>
    <t>Responsable</t>
  </si>
  <si>
    <t>(Indique Nombre del Responsable...)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</si>
  <si>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</si>
  <si>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</si>
  <si>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</si>
  <si>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</si>
  <si>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</si>
  <si>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</si>
  <si>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</si>
  <si>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</si>
  <si>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</si>
  <si>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Pregunta de Auditoría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</si>
  <si>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</si>
  <si>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</si>
  <si>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</si>
  <si>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</si>
  <si>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</si>
  <si>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</si>
  <si>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</si>
  <si>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</si>
  <si>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</si>
  <si>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</si>
  <si>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</si>
  <si>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</si>
  <si>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</si>
  <si>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</si>
  <si>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</si>
  <si>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</si>
  <si>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</si>
  <si>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</si>
  <si>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</si>
  <si>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</si>
  <si>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</si>
  <si>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</si>
  <si>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</si>
  <si>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</si>
  <si>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</si>
  <si>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</si>
  <si>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</si>
  <si>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PROMEDIO GENERAL DE CUMPLIMIENTO DE AUDITORÍA</t>
  </si>
  <si>
    <t>Resumen Operativo: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</si>
  <si>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</si>
  <si>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</si>
  <si>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</si>
  <si>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</si>
  <si>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</si>
  <si>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</si>
  <si>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</si>
  <si>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</si>
  <si>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Elaborado por:</t>
  </si>
  <si>
    <t>1. Gobierno, Inventario y Clasificación de Datos</t>
  </si>
  <si>
    <t>GOB-01</t>
  </si>
  <si>
    <t>GOB-02</t>
  </si>
  <si>
    <t>¿Existe un inventario centralizado de los motores de bases de datos instalados en servidores virtuales?</t>
  </si>
  <si>
    <t>GOB-03</t>
  </si>
  <si>
    <t>¿Existe un inventario centralizado de las bases de datos administradas como servicio en la nube (PaaS/DBaaS)?</t>
  </si>
  <si>
    <t>GOB-04</t>
  </si>
  <si>
    <t>¿El inventario registra la versión exacta del sistema manejador de base de datos (DBMS)?</t>
  </si>
  <si>
    <t>GOB-05</t>
  </si>
  <si>
    <t>¿El inventario registra el nivel de parches aplicado a cada motor de base de datos?</t>
  </si>
  <si>
    <t>GOB-06</t>
  </si>
  <si>
    <t>¿El inventario registra la ubicación física o lógica (host/clúster/región) de cada base de datos?</t>
  </si>
  <si>
    <t>GOB-07</t>
  </si>
  <si>
    <t>¿Existe un diccionario de datos documentado para cada base de datos de producción?</t>
  </si>
  <si>
    <t>GOB-08</t>
  </si>
  <si>
    <t>¿Existe un proceso formal para actualizar el diccionario de datos ante la creación de nuevas tablas?</t>
  </si>
  <si>
    <t>GOB-09</t>
  </si>
  <si>
    <t>¿Existe un proceso formal para actualizar el diccionario de datos ante la adición de nuevos campos?</t>
  </si>
  <si>
    <t>GOB-10</t>
  </si>
  <si>
    <t>¿El diccionario de datos clasifica explícitamente los campos que almacenan información confidencial del negocio?</t>
  </si>
  <si>
    <t>GOB-11</t>
  </si>
  <si>
    <t>¿El diccionario de datos clasifica explícitamente los campos que almacenan datos personales identificables (PII)?</t>
  </si>
  <si>
    <t>2. Control de Accesos, Identidades y Permisos</t>
  </si>
  <si>
    <t>ACC-01</t>
  </si>
  <si>
    <t>¿Existe un registro formal y actualizado del personal técnico con acceso directo a bases de datos de producción?</t>
  </si>
  <si>
    <t>ACC-02</t>
  </si>
  <si>
    <t>¿Se especifican los perfiles o roles asignados a cada usuario en el registro de accesos técnicos?</t>
  </si>
  <si>
    <t>ACC-03</t>
  </si>
  <si>
    <t>¿Están asignadas las cuentas administrativas de forma nominal (individual) a cada Administrador de Base de Datos (DBA)?</t>
  </si>
  <si>
    <t>ACC-04</t>
  </si>
  <si>
    <t>¿Se prohíbe técnicamente el uso de cuentas genéricas de sistema (ej. sa, root, postgres) para operaciones diarias?</t>
  </si>
  <si>
    <t>ACC-05</t>
  </si>
  <si>
    <t>¿Se requiere Autenticación Multifactor (MFA) para establecer conexiones administrativas remotas al motor de base de datos?</t>
  </si>
  <si>
    <t>ACC-06</t>
  </si>
  <si>
    <t>¿Se realiza una depuración de las cuentas técnicas de bases de datos con una frecuencia mínima semestral?</t>
  </si>
  <si>
    <t>ACC-07</t>
  </si>
  <si>
    <t>¿Se bloquea a nivel de red (Firewall) la conexión directa de los equipos de los desarrolladores a las bases de datos de producción?</t>
  </si>
  <si>
    <t>ACC-08</t>
  </si>
  <si>
    <t>¿Están bloqueados los permisos de escritura (INSERT) para el personal de desarrollo en producción?</t>
  </si>
  <si>
    <t>ACC-09</t>
  </si>
  <si>
    <t>¿Están bloqueados los permisos de modificación (UPDATE) para el personal de desarrollo en producción?</t>
  </si>
  <si>
    <t>ACC-10</t>
  </si>
  <si>
    <t>¿Están bloqueados los permisos de borrado (DELETE) para el personal de desarrollo en producción?</t>
  </si>
  <si>
    <t>ACC-11</t>
  </si>
  <si>
    <t>¿Están bloqueados los permisos de alteración de estructura (DDL: ALTER, DROP) para analistas o desarrolladores en producción?</t>
  </si>
  <si>
    <t>ACC-12</t>
  </si>
  <si>
    <t>¿Existe un procedimiento automatizado para revocar los accesos a bases de datos el mismo día en que un empleado egresa?</t>
  </si>
  <si>
    <t>3. Arquitectura en Nube (Cloud) y Microservicios</t>
  </si>
  <si>
    <t>CLD-01</t>
  </si>
  <si>
    <t>¿Se asigna una base de datos o esquema independiente para cada microservicio (Database-per-service)?</t>
  </si>
  <si>
    <t>CLD-02</t>
  </si>
  <si>
    <t>¿Se bloquea técnicamente la conexión directa de un microservicio hacia la base de datos exclusiva de otro microservicio?</t>
  </si>
  <si>
    <t>CLD-03</t>
  </si>
  <si>
    <t>¿Se utilizan Identidades Administradas (Managed Identities / Roles IAM) para la conexión entre microservicios en la nube y la base de datos?</t>
  </si>
  <si>
    <t>CLD-04</t>
  </si>
  <si>
    <t>¿Está inhabilitado el acceso público desde internet hacia los motores de bases de datos alojados en la nube (PaaS)?</t>
  </si>
  <si>
    <t>CLD-05</t>
  </si>
  <si>
    <t>¿Se configuran redes privadas virtuales exclusivas (VPC/VNet) para aislar los clústeres de bases de datos en la nube?</t>
  </si>
  <si>
    <t>CLD-06</t>
  </si>
  <si>
    <t>¿Las cadenas de conexión (connection strings) se extraen de forma segura en tiempo de ejecución desde una bóveda centralizada (Key Vault/Secret Manager)?</t>
  </si>
  <si>
    <t>CLD-07</t>
  </si>
  <si>
    <t>¿Se rotan automáticamente las contraseñas de las cuentas de servicio de la base de datos en ciclos programados?</t>
  </si>
  <si>
    <t>4. DevSecOps, Control de Cambios e Infraestructura como Código</t>
  </si>
  <si>
    <t>DSO-01</t>
  </si>
  <si>
    <t>¿Se gestionan los scripts de creación y modificación de esquemas (DDL) bajo un sistema de control de versiones (ej. Git)?</t>
  </si>
  <si>
    <t>DSO-02</t>
  </si>
  <si>
    <t>¿Se ejecutan herramientas de análisis estático (SAST) sobre los scripts de base de datos antes de su autorización?</t>
  </si>
  <si>
    <t>DSO-03</t>
  </si>
  <si>
    <t>¿La ejecución de cambios estructurales en bases de datos productivas se realiza exclusivamente a través de pipelines automatizados (CI/CD)?</t>
  </si>
  <si>
    <t>DSO-04</t>
  </si>
  <si>
    <t>¿Está inhabilitada la ejecución manual de scripts SQL en producción por parte de los DBA?</t>
  </si>
  <si>
    <t>DSO-05</t>
  </si>
  <si>
    <t>¿Los pipelines de despliegue en bases de datos requieren una aprobación formal trazable de un responsable funcional o QA?</t>
  </si>
  <si>
    <t>DSO-06</t>
  </si>
  <si>
    <t>¿Se programan y prueban scripts automatizados de reversión (rollback) por cada cambio estructural que se pretende desplegar?</t>
  </si>
  <si>
    <t>DSO-07</t>
  </si>
  <si>
    <t>¿Se ejecutan auditorías periódicas de código (SAST) enfocadas en detectar vulnerabilidades de Inyección SQL en las aplicaciones cliente?</t>
  </si>
  <si>
    <t>5. Cifrado, Protección de Datos y Privacidad</t>
  </si>
  <si>
    <t>CRY-01</t>
  </si>
  <si>
    <t>¿Están cambiadas o inhabilitadas las contraseñas que el motor de base de datos instala por defecto de fábrica?</t>
  </si>
  <si>
    <t>CRY-02</t>
  </si>
  <si>
    <t>¿Se utiliza el protocolo TLS 1.2 o superior para cifrar en tránsito el tráfico entre las aplicaciones y la base de datos?</t>
  </si>
  <si>
    <t>CRY-03</t>
  </si>
  <si>
    <t>¿Se requiere la validación de certificados digitales internos para autenticar las conexiones cifradas hacia la base de datos?</t>
  </si>
  <si>
    <t>CRY-04</t>
  </si>
  <si>
    <t>¿Están cifrados los archivos de datos físicos en reposo (Data files / TDE)?</t>
  </si>
  <si>
    <t>CRY-05</t>
  </si>
  <si>
    <t>¿Están cifrados los archivos de bitácoras de transacciones en reposo (Transaction logs)?</t>
  </si>
  <si>
    <t>CRY-06</t>
  </si>
  <si>
    <t>¿Se enmascaran automáticamente los datos confidenciales al ser visualizados por perfiles no autorizados (Dynamic Data Masking)?</t>
  </si>
  <si>
    <t>CRY-07</t>
  </si>
  <si>
    <t>¿Se aplica un proceso automatizado de anonimización sobre los datos personales antes de clonar una base de datos hacia entornos de desarrollo o pruebas?</t>
  </si>
  <si>
    <t>6. Auditoría, Trazabilidad y Monitoreo (SIEM)</t>
  </si>
  <si>
    <t>AUD-01</t>
  </si>
  <si>
    <t>¿Están activadas las funciones nativas de auditoría (logging) en todos los motores de base de datos en producción?</t>
  </si>
  <si>
    <t>AUD-02</t>
  </si>
  <si>
    <t>¿Se auditan y registran todos los inicios de sesión exitosos a la base de datos?</t>
  </si>
  <si>
    <t>AUD-03</t>
  </si>
  <si>
    <t>¿Se auditan y registran todos los inicios de sesión fallidos a la base de datos?</t>
  </si>
  <si>
    <t>AUD-04</t>
  </si>
  <si>
    <t>¿Se registra la ejecución de comandos de alteración de estructura (CREATE, ALTER, DROP)?</t>
  </si>
  <si>
    <t>AUD-05</t>
  </si>
  <si>
    <t>¿Se registra la asignación o revocación de privilegios ejecutada sobre los usuarios de la base de datos?</t>
  </si>
  <si>
    <t>AUD-06</t>
  </si>
  <si>
    <t>¿Los registros de auditoría capturan la dirección IP de origen de la conexión?</t>
  </si>
  <si>
    <t>AUD-07</t>
  </si>
  <si>
    <t>¿Los registros de auditoría capturan el nombre de usuario nominal de la conexión?</t>
  </si>
  <si>
    <t>AUD-08</t>
  </si>
  <si>
    <t>¿Los registros de auditoría capturan la fecha y hora exacta (timestamp) de cada comando ejecutado?</t>
  </si>
  <si>
    <t>AUD-09</t>
  </si>
  <si>
    <t>¿Se auditan las consultas de lectura (SELECT) realizadas directamente sobre tablas que contienen datos personales sensibles?</t>
  </si>
  <si>
    <t>AUD-10</t>
  </si>
  <si>
    <t>¿Existen alertas automáticas configuradas ante la descarga masiva de registros desproporcionados al volumen habitual?</t>
  </si>
  <si>
    <t>AUD-11</t>
  </si>
  <si>
    <t>¿Se transmiten los registros de auditoría de la base de datos hacia un gestor centralizado (SIEM) en tiempo real?</t>
  </si>
  <si>
    <t>AUD-12</t>
  </si>
  <si>
    <t>¿Se encuentran restringidos los permisos de modo que los DBA no puedan modificar ni eliminar las bitácoras de auditoría de sus propios motores?</t>
  </si>
  <si>
    <t>7. Respaldo, Continuidad y Alta Disponibilidad</t>
  </si>
  <si>
    <t>BCP-01</t>
  </si>
  <si>
    <t>¿Se ejecutan respaldos automatizados completos (Full) de las bases de datos de forma semanal o diaria?</t>
  </si>
  <si>
    <t>BCP-02</t>
  </si>
  <si>
    <t>¿Se ejecutan respaldos incrementales o diferenciales diarios sobre las bases de datos transaccionales?</t>
  </si>
  <si>
    <t>BCP-03</t>
  </si>
  <si>
    <t>¿Se ejecutan respaldos de bitácoras de transacciones (log backups) de manera intradiaria?</t>
  </si>
  <si>
    <t>BCP-04</t>
  </si>
  <si>
    <t>¿Se verifica diariamente la correcta finalización (éxito) de los procesos de respaldo programados?</t>
  </si>
  <si>
    <t>BCP-05</t>
  </si>
  <si>
    <t>¿Existen alertas automáticas inmediatas en caso de que un proceso de respaldo de base de datos falle?</t>
  </si>
  <si>
    <t>BCP-06</t>
  </si>
  <si>
    <t>¿Se protegen los archivos de respaldo resultantes mediante algoritmos de cifrado fuerte en reposo?</t>
  </si>
  <si>
    <t>BCP-07</t>
  </si>
  <si>
    <t>¿Se custodian las llaves de cifrado de los respaldos en un repositorio externo al almacenamiento del backup?</t>
  </si>
  <si>
    <t>BCP-08</t>
  </si>
  <si>
    <t>¿Se replican los respaldos de forma inmutable hacia un almacenamiento en red aislada o nube (Air-Gapped) para mitigar ataques de Ransomware?</t>
  </si>
  <si>
    <t>BCP-09</t>
  </si>
  <si>
    <t>¿Existe un Punto Objetivo de Recuperación (RPO) formalmente documentado para las bases de datos críticas?</t>
  </si>
  <si>
    <t>BCP-10</t>
  </si>
  <si>
    <t>¿La frecuencia de ejecución de los respaldos intradiarios satisface matemáticamente el RPO formalizado?</t>
  </si>
  <si>
    <t>BCP-11</t>
  </si>
  <si>
    <t>¿Se ejecutan simulacros de restauración de los respaldos completos al menos de forma semestral?</t>
  </si>
  <si>
    <t>BCP-12</t>
  </si>
  <si>
    <t>¿Se aísla lógicamente el entorno de prueba de restauración para no generar conflictos con la red de producción?</t>
  </si>
  <si>
    <t>BCP-13</t>
  </si>
  <si>
    <t>¿Se mide y documenta el tiempo cronometrado que tarda el proceso de restauración durante cada simulacro?</t>
  </si>
  <si>
    <t>BCP-14</t>
  </si>
  <si>
    <t>¿El tiempo real obtenido en la restauración cumple con el Tiempo Objetivo de Recuperación (RTO) definido por el negocio?</t>
  </si>
  <si>
    <t>BCP-15</t>
  </si>
  <si>
    <t>¿Se documenta un acta formal firmada garantizando la integridad funcional de los datos tras cada prueba de restauración?</t>
  </si>
  <si>
    <t>BCP-16</t>
  </si>
  <si>
    <t>¿Cuenta la base de datos principal con una arquitectura de alta disponibilidad (ej. Clúster, AlwaysOn, RAC)?</t>
  </si>
  <si>
    <t>BCP-17</t>
  </si>
  <si>
    <t>¿La conmutación por error (Failover) hacia el nodo secundario está configurada para ejecutarse de forma automática ante un fallo físico?</t>
  </si>
  <si>
    <t>8. Endurecimiento (Hardening) y Gestión de Vulnerabilidades</t>
  </si>
  <si>
    <t>HRD-01</t>
  </si>
  <si>
    <t>¿Se aplican guías formales de endurecimiento (ej. CIS Benchmarks) en la configuración del sistema operativo que aloja la base de datos?</t>
  </si>
  <si>
    <t>HRD-02</t>
  </si>
  <si>
    <t>¿Se aplican guías formales de endurecimiento (ej. CIS Benchmarks) específicas para el motor de base de datos utilizado?</t>
  </si>
  <si>
    <t>HRD-03</t>
  </si>
  <si>
    <t>¿Se deshabilitan en el servidor anfitrión todos los servicios, roles y puertos que no sean estrictamente necesarios para la base de datos?</t>
  </si>
  <si>
    <t>HRD-04</t>
  </si>
  <si>
    <t>¿Existe un procedimiento formal documentado para la aplicación de parches en los motores de base de datos?</t>
  </si>
  <si>
    <t>HRD-05</t>
  </si>
  <si>
    <t>¿Se ejecutan escaneos de vulnerabilidades automatizados orientados específicamente a los puertos y servicios del DBMS?</t>
  </si>
  <si>
    <t>HRD-06</t>
  </si>
  <si>
    <t>¿Se instalan los parches de seguridad críticos publicados por el fabricante en un plazo establecido normativamente (ej. &lt;30 días)?</t>
  </si>
  <si>
    <t>HRD-07</t>
  </si>
  <si>
    <t>¿Se validan obligatoriamente los parches en un entorno de pruebas (QA) antes de ser instalados en producción?</t>
  </si>
  <si>
    <t>HRD-08</t>
  </si>
  <si>
    <t>¿Se documenta un plan de reversión (Rollback plan) funcional antes de iniciar cualquier ventana de mantenimiento para la aplicación de parches?</t>
  </si>
  <si>
    <t>9. Rendimiento, Capacidad e Incidentes</t>
  </si>
  <si>
    <t>PER-01</t>
  </si>
  <si>
    <t>¿Se monitorea mediante herramientas automatizadas el consumo de CPU de los servidores de base de datos en tiempo real?</t>
  </si>
  <si>
    <t>PER-02</t>
  </si>
  <si>
    <t>¿Se monitorea mediante herramientas automatizadas el uso de memoria RAM de los servidores de base de datos en tiempo real?</t>
  </si>
  <si>
    <t>PER-03</t>
  </si>
  <si>
    <t>¿Se monitorea el espacio de almacenamiento disponible en los volúmenes de datos y logs de transacciones?</t>
  </si>
  <si>
    <t>PER-04</t>
  </si>
  <si>
    <t>¿Existen umbrales de alerta que notifiquen proactivamente cuando el almacenamiento en disco supera el 80% de su capacidad?</t>
  </si>
  <si>
    <t>PER-05</t>
  </si>
  <si>
    <t>PER-06</t>
  </si>
  <si>
    <t>¿Existe una matriz de dependencias que documente el impacto hacia aplicaciones externas en caso de caída de una base de datos específica?</t>
  </si>
  <si>
    <t>PER-07</t>
  </si>
  <si>
    <t>¿Se mantiene una bitácora estandarizada en una herramienta de Mesa de Ayuda sobre las indisponibilidades (caídas) de las bases de datos?</t>
  </si>
  <si>
    <t>PER-08</t>
  </si>
  <si>
    <t>¿Se documenta formalmente la Causa Raíz de las indisponibilidades de la base de datos tras la resolución del incidente?</t>
  </si>
  <si>
    <t>¿Se monitorean activamente los bloqueos transaccionales severos (Deadlocks) en el motor de base de datos?</t>
  </si>
  <si>
    <r>
      <t>¿Existe un inventario centralizado de los motores</t>
    </r>
    <r>
      <rPr>
        <sz val="10"/>
        <color rgb="FFFF0000"/>
        <rFont val="Calibri"/>
        <family val="2"/>
      </rPr>
      <t xml:space="preserve"> </t>
    </r>
    <r>
      <rPr>
        <sz val="10"/>
        <rFont val="Calibri"/>
        <family val="2"/>
      </rPr>
      <t>de bases de datos instalados en servidores físicos?</t>
    </r>
  </si>
  <si>
    <t>GERENTE DE INFRAESTRUCTURA</t>
  </si>
  <si>
    <t>INFRAESTRUCTURA</t>
  </si>
  <si>
    <t>Rafael Arteaga</t>
  </si>
  <si>
    <t>Resumen Documentación:</t>
  </si>
  <si>
    <t>Fecha Recepción</t>
  </si>
  <si>
    <t>Verificado por:</t>
  </si>
  <si>
    <t>Verificación</t>
  </si>
  <si>
    <t>Fecha Verificación</t>
  </si>
  <si>
    <t>AC-A2-37-08-2026-4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</si>
  <si>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</si>
  <si>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</si>
  <si>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</si>
  <si>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</si>
  <si>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</si>
  <si>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</si>
  <si>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</si>
  <si>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</si>
  <si>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</si>
  <si>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</si>
  <si>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</si>
  <si>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</si>
  <si>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</si>
  <si>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</si>
  <si>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</si>
  <si>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</si>
  <si>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</si>
  <si>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</si>
  <si>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</si>
  <si>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</si>
  <si>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</si>
  <si>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</si>
  <si>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</si>
  <si>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</si>
  <si>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</si>
  <si>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</si>
  <si>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</si>
  <si>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BASE DE DATOS</t>
  </si>
  <si>
    <t>Falta la formalización</t>
  </si>
  <si>
    <t>NO se aplican parches</t>
  </si>
  <si>
    <t>Solo existe un administrador</t>
  </si>
  <si>
    <t>Solo en Producción</t>
  </si>
  <si>
    <t>Pero se da de baja los permisos del usuario</t>
  </si>
  <si>
    <t>Pero va a depender del esquema</t>
  </si>
  <si>
    <t>Solo algunas se suelen actualizar</t>
  </si>
  <si>
    <t>NO se dispone de una aplicación para este proceso</t>
  </si>
  <si>
    <t>Solo por correo, ya no se dispone del Gestor de Cambios o persona responsable de administrar los controles de cambio</t>
  </si>
  <si>
    <t xml:space="preserve">Revisar los reportes </t>
  </si>
  <si>
    <t>Cuando se tienen programaciones especificas</t>
  </si>
  <si>
    <t>En los log se mantiene el registro</t>
  </si>
  <si>
    <t>Se requiere un software especializado</t>
  </si>
  <si>
    <t>Es Activo Pasivo</t>
  </si>
  <si>
    <t>No se aplican</t>
  </si>
  <si>
    <t>No se dispone del sofware necesario</t>
  </si>
  <si>
    <t>Se encuentran bloqueados por restricción del servicio</t>
  </si>
  <si>
    <t>Solo por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</si>
</sst>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9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2" fillId="3" borderId="5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9" fontId="3" fillId="0" borderId="20" xfId="0" applyNumberFormat="1" applyFont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left" vertical="top" wrapText="1"/>
    </xf>
    <xf numFmtId="0" fontId="4" fillId="4" borderId="20" xfId="0" applyFont="1" applyFill="1" applyBorder="1" applyAlignment="1">
      <alignment vertical="top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9" fontId="3" fillId="0" borderId="23" xfId="0" applyNumberFormat="1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left" vertical="top" wrapText="1"/>
    </xf>
    <xf numFmtId="0" fontId="4" fillId="4" borderId="24" xfId="0" applyFont="1" applyFill="1" applyBorder="1" applyAlignment="1">
      <alignment vertical="top" wrapText="1"/>
    </xf>
    <xf numFmtId="0" fontId="3" fillId="8" borderId="25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4" fillId="7" borderId="15" xfId="0" applyNumberFormat="1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Protection="1">
      <protection hidden="1"/>
    </xf>
    <xf numFmtId="0" fontId="13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5" fillId="8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3" fillId="0" borderId="0" xfId="0" applyFont="1" applyBorder="1" applyAlignment="1" applyProtection="1">
      <protection hidden="1"/>
    </xf>
    <xf numFmtId="0" fontId="13" fillId="0" borderId="11" xfId="0" applyFont="1" applyBorder="1" applyProtection="1">
      <protection hidden="1"/>
    </xf>
    <xf numFmtId="0" fontId="13" fillId="0" borderId="13" xfId="0" applyFont="1" applyBorder="1" applyProtection="1">
      <protection hidden="1"/>
    </xf>
    <xf numFmtId="0" fontId="13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8" borderId="31" xfId="0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/>
    </xf>
    <xf numFmtId="0" fontId="0" fillId="0" borderId="0" xfId="0" applyProtection="1">
      <protection hidden="1"/>
    </xf>
    <xf numFmtId="0" fontId="18" fillId="0" borderId="34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10" fontId="19" fillId="0" borderId="34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0" fontId="6" fillId="5" borderId="17" xfId="0" applyFont="1" applyFill="1" applyBorder="1" applyAlignment="1" applyProtection="1">
      <alignment horizontal="center" vertical="center"/>
      <protection hidden="1"/>
    </xf>
    <xf numFmtId="0" fontId="6" fillId="5" borderId="18" xfId="0" applyFont="1" applyFill="1" applyBorder="1" applyAlignment="1" applyProtection="1">
      <alignment horizontal="center" vertical="center"/>
      <protection hidden="1"/>
    </xf>
    <xf numFmtId="0" fontId="6" fillId="6" borderId="14" xfId="0" applyFont="1" applyFill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 wrapText="1"/>
      <protection hidden="1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38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$B$128" lockText="1" noThreeD="1"/>
</file>

<file path=xl/ctrlProps/ctrlProp2.xml><?xml version="1.0" encoding="utf-8"?>
<formControlPr xmlns="http://schemas.microsoft.com/office/spreadsheetml/2009/9/main" objectType="CheckBox" fmlaLink="$B$129" lockText="1" noThreeD="1"/>
</file>

<file path=xl/ctrlProps/ctrlProp3.xml><?xml version="1.0" encoding="utf-8"?>
<formControlPr xmlns="http://schemas.microsoft.com/office/spreadsheetml/2009/9/main" objectType="CheckBox" fmlaLink="$B$130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71438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127</xdr:row>
          <xdr:rowOff>184150</xdr:rowOff>
        </xdr:from>
        <xdr:to>
          <xdr:col>6</xdr:col>
          <xdr:colOff>857250</xdr:colOff>
          <xdr:row>127</xdr:row>
          <xdr:rowOff>412750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128</xdr:row>
          <xdr:rowOff>152400</xdr:rowOff>
        </xdr:from>
        <xdr:to>
          <xdr:col>6</xdr:col>
          <xdr:colOff>857250</xdr:colOff>
          <xdr:row>128</xdr:row>
          <xdr:rowOff>374650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129</xdr:row>
          <xdr:rowOff>57150</xdr:rowOff>
        </xdr:from>
        <xdr:to>
          <xdr:col>6</xdr:col>
          <xdr:colOff>857250</xdr:colOff>
          <xdr:row>129</xdr:row>
          <xdr:rowOff>476250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31"/>
  <sheetViews>
    <sheetView showGridLines="0" tabSelected="1" topLeftCell="A103" zoomScale="70" zoomScaleNormal="70" workbookViewId="0">
      <selection activeCell="H7" sqref="H7:I7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55.7265625" customWidth="1"/>
    <col min="4" max="4" width="15.54296875" customWidth="1"/>
    <col min="5" max="7" width="17.81640625" customWidth="1"/>
    <col min="8" max="8" width="14" customWidth="1"/>
    <col min="9" max="9" width="45.81640625" customWidth="1"/>
    <col min="10" max="10" width="3.7265625" customWidth="1"/>
    <col min="11" max="19" width="9.1796875" hidden="1" customWidth="1"/>
    <col min="20" max="21" width="9.1796875" customWidth="1"/>
  </cols>
  <sheetData>
    <row r="1" spans="1:19" ht="36.75" customHeight="1" thickBot="1" x14ac:dyDescent="0.4">
      <c r="D1" s="85" t="s">
        <v>45</v>
      </c>
      <c r="E1" s="86"/>
      <c r="F1" s="20" t="s">
        <v>48</v>
      </c>
      <c r="G1" s="88" t="s">
        <v>16</v>
      </c>
      <c r="H1" s="89"/>
      <c r="I1" s="90"/>
      <c r="N1" s="68" t="s">
        <v>258</v>
      </c>
      <c r="O1" s="68" t="s">
        <v>259</v>
      </c>
      <c r="P1" s="68" t="s">
        <v>260</v>
      </c>
      <c r="Q1" s="69"/>
      <c r="R1" s="69"/>
      <c r="S1" s="69"/>
    </row>
    <row r="2" spans="1:19" ht="36.75" customHeight="1" thickBot="1" x14ac:dyDescent="0.4">
      <c r="D2" s="85" t="s">
        <v>46</v>
      </c>
      <c r="E2" s="86"/>
      <c r="F2" s="88" t="s">
        <v>50</v>
      </c>
      <c r="G2" s="89"/>
      <c r="H2" s="89"/>
      <c r="I2" s="90"/>
      <c r="N2" s="68" t="s">
        <v>261</v>
      </c>
      <c r="O2" s="70" t="s">
        <v>262</v>
      </c>
      <c r="P2" s="71">
        <f>COUNT(K8:K120)</f>
        <v>113</v>
      </c>
      <c r="Q2" s="69"/>
      <c r="R2" s="69"/>
      <c r="S2" s="69"/>
    </row>
    <row r="3" spans="1:19" ht="16" thickBot="1" x14ac:dyDescent="0.4">
      <c r="D3" s="85" t="s">
        <v>47</v>
      </c>
      <c r="E3" s="86"/>
      <c r="F3" s="87" t="s">
        <v>257</v>
      </c>
      <c r="G3" s="87"/>
      <c r="H3" s="87"/>
      <c r="I3" s="87"/>
      <c r="N3" s="68" t="s">
        <v>263</v>
      </c>
      <c r="O3" s="70" t="s">
        <v>264</v>
      </c>
      <c r="P3" s="71">
        <f>COUNTIF(D8:D120, "Si")</f>
        <v>56</v>
      </c>
      <c r="Q3" s="69"/>
      <c r="R3" s="69"/>
      <c r="S3" s="69"/>
    </row>
    <row r="4" spans="1:19" ht="16" thickBot="1" x14ac:dyDescent="0.4">
      <c r="N4" s="68" t="s">
        <v>265</v>
      </c>
      <c r="O4" s="70" t="s">
        <v>266</v>
      </c>
      <c r="P4" s="71">
        <f>COUNTIF(E8:E120, "Si")</f>
        <v>8</v>
      </c>
      <c r="Q4" s="69"/>
      <c r="R4" s="69"/>
      <c r="S4" s="69"/>
    </row>
    <row r="5" spans="1:19" ht="16" thickBot="1" x14ac:dyDescent="0.4">
      <c r="A5" s="12"/>
      <c r="B5" s="13"/>
      <c r="C5" s="13"/>
      <c r="D5" s="13"/>
      <c r="E5" s="13"/>
      <c r="F5" s="13"/>
      <c r="G5" s="13"/>
      <c r="H5" s="13"/>
      <c r="I5" s="13"/>
      <c r="J5" s="14"/>
      <c r="N5" s="68" t="s">
        <v>267</v>
      </c>
      <c r="O5" s="70" t="s">
        <v>268</v>
      </c>
      <c r="P5" s="71">
        <f>COUNTIF(F8:F120, "Inexistente")</f>
        <v>81</v>
      </c>
      <c r="Q5" s="69"/>
      <c r="R5" s="69"/>
      <c r="S5" s="69"/>
    </row>
    <row r="6" spans="1:19" ht="15" customHeight="1" thickBot="1" x14ac:dyDescent="0.4">
      <c r="A6" s="15"/>
      <c r="B6" s="91" t="s">
        <v>62</v>
      </c>
      <c r="C6" s="91"/>
      <c r="D6" s="91"/>
      <c r="E6" s="91"/>
      <c r="F6" s="91"/>
      <c r="G6" s="91"/>
      <c r="H6" s="91"/>
      <c r="I6" s="91"/>
      <c r="J6" s="16"/>
      <c r="N6" s="68" t="s">
        <v>269</v>
      </c>
      <c r="O6" s="70" t="s">
        <v>270</v>
      </c>
      <c r="P6" s="72">
        <f>(COUNTIF(D8:D120,"Si")+(COUNTIF(E8:E120,"SI")+(COUNTIF(F8:F120,"Actualizado")*0.5))/COUNT(K8:K120))*0.01</f>
        <v>0.56075221238938056</v>
      </c>
      <c r="Q6" s="69"/>
      <c r="R6" s="69"/>
      <c r="S6" s="69"/>
    </row>
    <row r="7" spans="1:19" ht="29.5" thickBot="1" x14ac:dyDescent="0.4">
      <c r="A7" s="15"/>
      <c r="B7" s="6" t="s">
        <v>0</v>
      </c>
      <c r="C7" s="6" t="s">
        <v>23</v>
      </c>
      <c r="D7" s="6" t="s">
        <v>1</v>
      </c>
      <c r="E7" s="6" t="s">
        <v>2</v>
      </c>
      <c r="F7" s="6" t="s">
        <v>3</v>
      </c>
      <c r="G7" s="6" t="s">
        <v>4</v>
      </c>
      <c r="H7" s="79" t="s">
        <v>11</v>
      </c>
      <c r="I7" s="79"/>
      <c r="J7" s="16"/>
      <c r="N7" s="68" t="s">
        <v>271</v>
      </c>
      <c r="O7" s="70" t="s">
        <v>272</v>
      </c>
      <c r="P7" s="71">
        <f>SUMPRODUCT((D8:D120="Si")*1 + (E8:E120="Si")*0.5, F8:F120="Actualizado") / SUM(G8:G120) * 5</f>
        <v>0</v>
      </c>
      <c r="Q7" s="69"/>
      <c r="R7" s="69"/>
      <c r="S7" s="69"/>
    </row>
    <row r="8" spans="1:19" ht="42.75" customHeight="1" thickBot="1" x14ac:dyDescent="0.4">
      <c r="A8" s="15"/>
      <c r="B8" s="7" t="s">
        <v>63</v>
      </c>
      <c r="C8" s="8" t="s">
        <v>248</v>
      </c>
      <c r="D8" s="65" t="s">
        <v>25</v>
      </c>
      <c r="E8" s="66" t="s">
        <v>25</v>
      </c>
      <c r="F8" s="67" t="s">
        <v>27</v>
      </c>
      <c r="G8" s="9">
        <f t="shared" ref="G8" si="0">IF(D8="","",IF(D8="No",0,0.4+IF(E8="Si",0.3,0)+IF(F8="Actualizado",0.3,IF(F8="Desactualizado",0.15,0))))</f>
        <v>0.85</v>
      </c>
      <c r="H8" s="10" t="s">
        <v>5</v>
      </c>
      <c r="I8" s="11" t="s">
        <v>286</v>
      </c>
      <c r="J8" s="16"/>
      <c r="K8" s="69">
        <f t="shared" ref="K8:K13" si="1">IF(H8="Detalle:",1,0)</f>
        <v>1</v>
      </c>
      <c r="L8">
        <f t="shared" ref="L8:L13" si="2">IF(E8="","",IF(AND(E8="No",F8&lt;&gt;"Inexistente"),1,0))</f>
        <v>0</v>
      </c>
      <c r="N8" s="68" t="s">
        <v>273</v>
      </c>
      <c r="O8" s="70" t="s">
        <v>274</v>
      </c>
      <c r="P8" s="71">
        <f>COUNTIFS(D8:D120, "No", E8:E120, "No",F8:F120,"Inexistente")</f>
        <v>32</v>
      </c>
      <c r="Q8" s="69"/>
      <c r="R8" s="69"/>
      <c r="S8" s="69"/>
    </row>
    <row r="9" spans="1:19" ht="42.75" customHeight="1" thickBot="1" x14ac:dyDescent="0.4">
      <c r="A9" s="15"/>
      <c r="B9" s="7" t="s">
        <v>64</v>
      </c>
      <c r="C9" s="8" t="s">
        <v>65</v>
      </c>
      <c r="D9" s="65" t="s">
        <v>25</v>
      </c>
      <c r="E9" s="66" t="s">
        <v>25</v>
      </c>
      <c r="F9" s="67" t="s">
        <v>27</v>
      </c>
      <c r="G9" s="9">
        <f t="shared" ref="G9" si="3">IF(D9="","",IF(D9="No",0,0.4+IF(E9="Si",0.3,0)+IF(F9="Actualizado",0.3,IF(F9="Desactualizado",0.15,0))))</f>
        <v>0.85</v>
      </c>
      <c r="H9" s="10" t="s">
        <v>5</v>
      </c>
      <c r="I9" s="11" t="s">
        <v>6</v>
      </c>
      <c r="J9" s="16"/>
      <c r="K9" s="69">
        <f t="shared" si="1"/>
        <v>1</v>
      </c>
      <c r="L9">
        <f t="shared" si="2"/>
        <v>0</v>
      </c>
      <c r="N9" s="68" t="s">
        <v>275</v>
      </c>
      <c r="O9" s="70" t="s">
        <v>276</v>
      </c>
      <c r="P9" s="71">
        <f>COUNTIFS(D8:D120, "Si", E8:E120, "Si",F8:F120,"Desactualizado")</f>
        <v>6</v>
      </c>
      <c r="Q9" s="69"/>
      <c r="R9" s="69"/>
      <c r="S9" s="69"/>
    </row>
    <row r="10" spans="1:19" ht="42.75" customHeight="1" thickBot="1" x14ac:dyDescent="0.4">
      <c r="A10" s="15"/>
      <c r="B10" s="7" t="s">
        <v>66</v>
      </c>
      <c r="C10" s="8" t="s">
        <v>67</v>
      </c>
      <c r="D10" s="65" t="s">
        <v>25</v>
      </c>
      <c r="E10" s="66" t="s">
        <v>25</v>
      </c>
      <c r="F10" s="67" t="s">
        <v>27</v>
      </c>
      <c r="G10" s="9">
        <f t="shared" ref="G10:G53" si="4">IF(D10="","",IF(D10="No",0,0.4+IF(E10="Si",0.3,0)+IF(F10="Actualizado",0.3,IF(F10="Desactualizado",0.15,0))))</f>
        <v>0.85</v>
      </c>
      <c r="H10" s="10" t="s">
        <v>5</v>
      </c>
      <c r="I10" s="11" t="s">
        <v>6</v>
      </c>
      <c r="J10" s="16"/>
      <c r="K10" s="69">
        <f t="shared" si="1"/>
        <v>1</v>
      </c>
      <c r="L10">
        <f t="shared" si="2"/>
        <v>0</v>
      </c>
      <c r="N10" s="68" t="s">
        <v>277</v>
      </c>
      <c r="O10" s="70" t="s">
        <v>278</v>
      </c>
      <c r="P10" s="72">
        <f>COUNTIFS(D8:D120, "No", E8:E120, "no") / COUNT(K8:K120)</f>
        <v>0.2831858407079646</v>
      </c>
      <c r="Q10" s="69"/>
      <c r="R10" s="69"/>
      <c r="S10" s="69"/>
    </row>
    <row r="11" spans="1:19" ht="42.75" customHeight="1" x14ac:dyDescent="0.35">
      <c r="A11" s="15"/>
      <c r="B11" s="7" t="s">
        <v>68</v>
      </c>
      <c r="C11" s="8" t="s">
        <v>69</v>
      </c>
      <c r="D11" s="65" t="s">
        <v>25</v>
      </c>
      <c r="E11" s="66" t="s">
        <v>25</v>
      </c>
      <c r="F11" s="67" t="s">
        <v>27</v>
      </c>
      <c r="G11" s="9">
        <f t="shared" si="4"/>
        <v>0.85</v>
      </c>
      <c r="H11" s="10" t="s">
        <v>5</v>
      </c>
      <c r="I11" s="11" t="s">
        <v>6</v>
      </c>
      <c r="J11" s="16"/>
      <c r="K11" s="69">
        <f t="shared" si="1"/>
        <v>1</v>
      </c>
      <c r="L11">
        <f t="shared" si="2"/>
        <v>0</v>
      </c>
      <c r="N11" s="73"/>
      <c r="O11" s="73"/>
      <c r="P11" s="73"/>
      <c r="Q11" s="69"/>
      <c r="R11" s="69"/>
      <c r="S11" s="69"/>
    </row>
    <row r="12" spans="1:19" ht="42.75" customHeight="1" x14ac:dyDescent="0.35">
      <c r="A12" s="15"/>
      <c r="B12" s="7" t="s">
        <v>70</v>
      </c>
      <c r="C12" s="8" t="s">
        <v>71</v>
      </c>
      <c r="D12" s="65" t="s">
        <v>9</v>
      </c>
      <c r="E12" s="66" t="s">
        <v>25</v>
      </c>
      <c r="F12" s="67" t="s">
        <v>27</v>
      </c>
      <c r="G12" s="9">
        <f t="shared" si="4"/>
        <v>0</v>
      </c>
      <c r="H12" s="10" t="s">
        <v>5</v>
      </c>
      <c r="I12" s="11" t="s">
        <v>287</v>
      </c>
      <c r="J12" s="16"/>
      <c r="K12" s="69">
        <f t="shared" si="1"/>
        <v>1</v>
      </c>
      <c r="L12">
        <f t="shared" si="2"/>
        <v>0</v>
      </c>
      <c r="N12" s="1" t="s">
        <v>279</v>
      </c>
      <c r="O12" s="1" t="s">
        <v>280</v>
      </c>
      <c r="P12" s="1" t="s">
        <v>281</v>
      </c>
      <c r="Q12" s="1" t="s">
        <v>282</v>
      </c>
      <c r="R12" s="1" t="s">
        <v>283</v>
      </c>
      <c r="S12" s="1" t="s">
        <v>284</v>
      </c>
    </row>
    <row r="13" spans="1:19" ht="42.75" customHeight="1" x14ac:dyDescent="0.35">
      <c r="A13" s="15"/>
      <c r="B13" s="7" t="s">
        <v>72</v>
      </c>
      <c r="C13" s="8" t="s">
        <v>73</v>
      </c>
      <c r="D13" s="65" t="s">
        <v>25</v>
      </c>
      <c r="E13" s="66" t="s">
        <v>25</v>
      </c>
      <c r="F13" s="67" t="s">
        <v>26</v>
      </c>
      <c r="G13" s="9">
        <f t="shared" si="4"/>
        <v>1</v>
      </c>
      <c r="H13" s="10" t="s">
        <v>5</v>
      </c>
      <c r="I13" s="11" t="s">
        <v>6</v>
      </c>
      <c r="J13" s="16"/>
      <c r="K13" s="69">
        <f t="shared" si="1"/>
        <v>1</v>
      </c>
      <c r="L13">
        <f t="shared" si="2"/>
        <v>0</v>
      </c>
      <c r="N13" s="74" t="s">
        <v>285</v>
      </c>
      <c r="O13" s="75">
        <f>G124</f>
        <v>0.24666666666666678</v>
      </c>
      <c r="P13" s="74" t="str">
        <f>IF(O13="","",IF(O13&gt;=0.8,"Óptimo",IF(O13&gt;=0.6,"Aceptable","Crítico")))</f>
        <v>Crítico</v>
      </c>
      <c r="Q13" s="76">
        <f>P2</f>
        <v>113</v>
      </c>
      <c r="R13" s="77">
        <f>IFERROR(AVERAGEIF(D8:D120,"SI",G8:G120),"")</f>
        <v>0.45892857142857096</v>
      </c>
      <c r="S13" s="76">
        <f>COUNTIF(E8:E120,"SI")</f>
        <v>8</v>
      </c>
    </row>
    <row r="14" spans="1:19" ht="42.75" customHeight="1" x14ac:dyDescent="0.35">
      <c r="A14" s="15"/>
      <c r="B14" s="7" t="s">
        <v>74</v>
      </c>
      <c r="C14" s="8" t="s">
        <v>75</v>
      </c>
      <c r="D14" s="65" t="s">
        <v>9</v>
      </c>
      <c r="E14" s="66" t="s">
        <v>9</v>
      </c>
      <c r="F14" s="67" t="s">
        <v>28</v>
      </c>
      <c r="G14" s="9">
        <f t="shared" si="4"/>
        <v>0</v>
      </c>
      <c r="H14" s="10" t="s">
        <v>5</v>
      </c>
      <c r="I14" s="11" t="s">
        <v>6</v>
      </c>
      <c r="J14" s="16"/>
      <c r="K14" s="69">
        <f t="shared" ref="K14" si="5">IF(H14="Detalle:",1,0)</f>
        <v>1</v>
      </c>
      <c r="L14">
        <f t="shared" ref="L14" si="6">IF(E14="","",IF(AND(E14="No",F14&lt;&gt;"Inexistente"),1,0))</f>
        <v>0</v>
      </c>
    </row>
    <row r="15" spans="1:19" ht="42.75" customHeight="1" x14ac:dyDescent="0.35">
      <c r="A15" s="15"/>
      <c r="B15" s="7" t="s">
        <v>76</v>
      </c>
      <c r="C15" s="8" t="s">
        <v>77</v>
      </c>
      <c r="D15" s="65" t="s">
        <v>9</v>
      </c>
      <c r="E15" s="66" t="s">
        <v>9</v>
      </c>
      <c r="F15" s="67" t="s">
        <v>28</v>
      </c>
      <c r="G15" s="9">
        <f t="shared" si="4"/>
        <v>0</v>
      </c>
      <c r="H15" s="10" t="s">
        <v>5</v>
      </c>
      <c r="I15" s="11" t="s">
        <v>6</v>
      </c>
      <c r="J15" s="16"/>
      <c r="K15" s="69">
        <f t="shared" ref="K15:K78" si="7">IF(H15="Detalle:",1,0)</f>
        <v>1</v>
      </c>
      <c r="L15">
        <f t="shared" ref="L15:L78" si="8">IF(E15="","",IF(AND(E15="No",F15&lt;&gt;"Inexistente"),1,0))</f>
        <v>0</v>
      </c>
    </row>
    <row r="16" spans="1:19" ht="42.75" customHeight="1" x14ac:dyDescent="0.35">
      <c r="A16" s="15"/>
      <c r="B16" s="7" t="s">
        <v>78</v>
      </c>
      <c r="C16" s="8" t="s">
        <v>79</v>
      </c>
      <c r="D16" s="65" t="s">
        <v>9</v>
      </c>
      <c r="E16" s="66" t="s">
        <v>9</v>
      </c>
      <c r="F16" s="67" t="s">
        <v>28</v>
      </c>
      <c r="G16" s="9">
        <f t="shared" si="4"/>
        <v>0</v>
      </c>
      <c r="H16" s="10" t="s">
        <v>5</v>
      </c>
      <c r="I16" s="11" t="s">
        <v>6</v>
      </c>
      <c r="J16" s="16"/>
      <c r="K16" s="69">
        <f t="shared" si="7"/>
        <v>1</v>
      </c>
      <c r="L16">
        <f t="shared" si="8"/>
        <v>0</v>
      </c>
    </row>
    <row r="17" spans="1:12" ht="42.75" customHeight="1" x14ac:dyDescent="0.35">
      <c r="A17" s="15"/>
      <c r="B17" s="7" t="s">
        <v>80</v>
      </c>
      <c r="C17" s="8" t="s">
        <v>81</v>
      </c>
      <c r="D17" s="65" t="s">
        <v>9</v>
      </c>
      <c r="E17" s="66" t="s">
        <v>9</v>
      </c>
      <c r="F17" s="67" t="s">
        <v>28</v>
      </c>
      <c r="G17" s="9">
        <f t="shared" si="4"/>
        <v>0</v>
      </c>
      <c r="H17" s="10" t="s">
        <v>5</v>
      </c>
      <c r="I17" s="11" t="s">
        <v>6</v>
      </c>
      <c r="J17" s="16"/>
      <c r="K17" s="69">
        <f t="shared" si="7"/>
        <v>1</v>
      </c>
      <c r="L17">
        <f t="shared" si="8"/>
        <v>0</v>
      </c>
    </row>
    <row r="18" spans="1:12" ht="42.75" customHeight="1" x14ac:dyDescent="0.35">
      <c r="A18" s="15"/>
      <c r="B18" s="22" t="s">
        <v>82</v>
      </c>
      <c r="C18" s="23" t="s">
        <v>83</v>
      </c>
      <c r="D18" s="36" t="s">
        <v>25</v>
      </c>
      <c r="E18" s="37" t="s">
        <v>9</v>
      </c>
      <c r="F18" s="38" t="s">
        <v>28</v>
      </c>
      <c r="G18" s="24">
        <f t="shared" si="4"/>
        <v>0.4</v>
      </c>
      <c r="H18" s="25" t="s">
        <v>5</v>
      </c>
      <c r="I18" s="26" t="s">
        <v>6</v>
      </c>
      <c r="J18" s="16"/>
      <c r="K18" s="69">
        <f t="shared" si="7"/>
        <v>1</v>
      </c>
      <c r="L18">
        <f t="shared" si="8"/>
        <v>0</v>
      </c>
    </row>
    <row r="19" spans="1:12" x14ac:dyDescent="0.35">
      <c r="A19" s="15"/>
      <c r="B19" s="27"/>
      <c r="C19" s="28"/>
      <c r="D19" s="29"/>
      <c r="E19" s="29"/>
      <c r="F19" s="29"/>
      <c r="G19" s="30"/>
      <c r="H19" s="31"/>
      <c r="I19" s="32"/>
      <c r="J19" s="16"/>
      <c r="K19" s="69">
        <f t="shared" si="7"/>
        <v>0</v>
      </c>
      <c r="L19" t="str">
        <f t="shared" si="8"/>
        <v/>
      </c>
    </row>
    <row r="20" spans="1:12" ht="24" customHeight="1" x14ac:dyDescent="0.35">
      <c r="A20" s="15"/>
      <c r="B20" s="78" t="s">
        <v>84</v>
      </c>
      <c r="C20" s="78"/>
      <c r="D20" s="78"/>
      <c r="E20" s="78"/>
      <c r="F20" s="78"/>
      <c r="G20" s="78"/>
      <c r="H20" s="78"/>
      <c r="I20" s="78"/>
      <c r="J20" s="16"/>
      <c r="K20" s="69">
        <f t="shared" si="7"/>
        <v>0</v>
      </c>
      <c r="L20" t="str">
        <f t="shared" si="8"/>
        <v/>
      </c>
    </row>
    <row r="21" spans="1:12" ht="42.75" customHeight="1" x14ac:dyDescent="0.35">
      <c r="A21" s="15"/>
      <c r="B21" s="21" t="s">
        <v>0</v>
      </c>
      <c r="C21" s="21" t="s">
        <v>23</v>
      </c>
      <c r="D21" s="21" t="s">
        <v>1</v>
      </c>
      <c r="E21" s="21" t="s">
        <v>2</v>
      </c>
      <c r="F21" s="21" t="s">
        <v>3</v>
      </c>
      <c r="G21" s="21" t="s">
        <v>4</v>
      </c>
      <c r="H21" s="79" t="s">
        <v>11</v>
      </c>
      <c r="I21" s="79"/>
      <c r="J21" s="16"/>
      <c r="K21" s="69">
        <f t="shared" si="7"/>
        <v>0</v>
      </c>
      <c r="L21">
        <f t="shared" si="8"/>
        <v>0</v>
      </c>
    </row>
    <row r="22" spans="1:12" ht="42.75" customHeight="1" x14ac:dyDescent="0.35">
      <c r="A22" s="15"/>
      <c r="B22" s="7" t="s">
        <v>85</v>
      </c>
      <c r="C22" s="8" t="s">
        <v>86</v>
      </c>
      <c r="D22" s="33" t="s">
        <v>25</v>
      </c>
      <c r="E22" s="66" t="s">
        <v>25</v>
      </c>
      <c r="F22" s="67" t="s">
        <v>27</v>
      </c>
      <c r="G22" s="9">
        <f t="shared" si="4"/>
        <v>0.85</v>
      </c>
      <c r="H22" s="10" t="s">
        <v>5</v>
      </c>
      <c r="I22" s="11" t="s">
        <v>288</v>
      </c>
      <c r="J22" s="16"/>
      <c r="K22" s="69">
        <f t="shared" si="7"/>
        <v>1</v>
      </c>
      <c r="L22">
        <f t="shared" si="8"/>
        <v>0</v>
      </c>
    </row>
    <row r="23" spans="1:12" ht="42.75" customHeight="1" x14ac:dyDescent="0.35">
      <c r="A23" s="15"/>
      <c r="B23" s="7" t="s">
        <v>87</v>
      </c>
      <c r="C23" s="8" t="s">
        <v>88</v>
      </c>
      <c r="D23" s="65" t="s">
        <v>25</v>
      </c>
      <c r="E23" s="66" t="s">
        <v>25</v>
      </c>
      <c r="F23" s="67" t="s">
        <v>27</v>
      </c>
      <c r="G23" s="9">
        <f t="shared" si="4"/>
        <v>0.85</v>
      </c>
      <c r="H23" s="10" t="s">
        <v>5</v>
      </c>
      <c r="I23" s="11" t="s">
        <v>6</v>
      </c>
      <c r="J23" s="16"/>
      <c r="K23" s="69">
        <f t="shared" si="7"/>
        <v>1</v>
      </c>
      <c r="L23">
        <f t="shared" si="8"/>
        <v>0</v>
      </c>
    </row>
    <row r="24" spans="1:12" ht="42.75" customHeight="1" x14ac:dyDescent="0.35">
      <c r="A24" s="15"/>
      <c r="B24" s="7" t="s">
        <v>89</v>
      </c>
      <c r="C24" s="8" t="s">
        <v>90</v>
      </c>
      <c r="D24" s="65" t="s">
        <v>25</v>
      </c>
      <c r="E24" s="66" t="s">
        <v>9</v>
      </c>
      <c r="F24" s="67" t="s">
        <v>28</v>
      </c>
      <c r="G24" s="9">
        <f t="shared" si="4"/>
        <v>0.4</v>
      </c>
      <c r="H24" s="10" t="s">
        <v>5</v>
      </c>
      <c r="I24" s="11" t="s">
        <v>6</v>
      </c>
      <c r="J24" s="16"/>
      <c r="K24" s="69">
        <f t="shared" si="7"/>
        <v>1</v>
      </c>
      <c r="L24">
        <f t="shared" si="8"/>
        <v>0</v>
      </c>
    </row>
    <row r="25" spans="1:12" ht="42.75" customHeight="1" x14ac:dyDescent="0.35">
      <c r="A25" s="15"/>
      <c r="B25" s="7" t="s">
        <v>91</v>
      </c>
      <c r="C25" s="8" t="s">
        <v>92</v>
      </c>
      <c r="D25" s="65" t="s">
        <v>9</v>
      </c>
      <c r="E25" s="66" t="s">
        <v>9</v>
      </c>
      <c r="F25" s="67" t="s">
        <v>28</v>
      </c>
      <c r="G25" s="9">
        <f t="shared" si="4"/>
        <v>0</v>
      </c>
      <c r="H25" s="10" t="s">
        <v>5</v>
      </c>
      <c r="I25" s="11" t="s">
        <v>6</v>
      </c>
      <c r="J25" s="16"/>
      <c r="K25" s="69">
        <f t="shared" si="7"/>
        <v>1</v>
      </c>
      <c r="L25">
        <f t="shared" si="8"/>
        <v>0</v>
      </c>
    </row>
    <row r="26" spans="1:12" ht="42.75" customHeight="1" x14ac:dyDescent="0.35">
      <c r="A26" s="15"/>
      <c r="B26" s="7" t="s">
        <v>93</v>
      </c>
      <c r="C26" s="8" t="s">
        <v>94</v>
      </c>
      <c r="D26" s="65" t="s">
        <v>9</v>
      </c>
      <c r="E26" s="66" t="s">
        <v>9</v>
      </c>
      <c r="F26" s="67" t="s">
        <v>28</v>
      </c>
      <c r="G26" s="9">
        <f t="shared" si="4"/>
        <v>0</v>
      </c>
      <c r="H26" s="10" t="s">
        <v>5</v>
      </c>
      <c r="I26" s="11" t="s">
        <v>6</v>
      </c>
      <c r="J26" s="16"/>
      <c r="K26" s="69">
        <f t="shared" si="7"/>
        <v>1</v>
      </c>
      <c r="L26">
        <f t="shared" si="8"/>
        <v>0</v>
      </c>
    </row>
    <row r="27" spans="1:12" ht="42.75" customHeight="1" x14ac:dyDescent="0.35">
      <c r="A27" s="15"/>
      <c r="B27" s="7" t="s">
        <v>95</v>
      </c>
      <c r="C27" s="8" t="s">
        <v>96</v>
      </c>
      <c r="D27" s="65" t="s">
        <v>25</v>
      </c>
      <c r="E27" s="66" t="s">
        <v>9</v>
      </c>
      <c r="F27" s="67" t="s">
        <v>28</v>
      </c>
      <c r="G27" s="9">
        <f t="shared" si="4"/>
        <v>0.4</v>
      </c>
      <c r="H27" s="10" t="s">
        <v>5</v>
      </c>
      <c r="I27" s="11" t="s">
        <v>6</v>
      </c>
      <c r="J27" s="16"/>
      <c r="K27" s="69">
        <f t="shared" si="7"/>
        <v>1</v>
      </c>
      <c r="L27">
        <f t="shared" si="8"/>
        <v>0</v>
      </c>
    </row>
    <row r="28" spans="1:12" ht="42.75" customHeight="1" x14ac:dyDescent="0.35">
      <c r="A28" s="15"/>
      <c r="B28" s="7" t="s">
        <v>97</v>
      </c>
      <c r="C28" s="8" t="s">
        <v>98</v>
      </c>
      <c r="D28" s="65" t="s">
        <v>25</v>
      </c>
      <c r="E28" s="66" t="s">
        <v>9</v>
      </c>
      <c r="F28" s="67" t="s">
        <v>28</v>
      </c>
      <c r="G28" s="9">
        <f t="shared" si="4"/>
        <v>0.4</v>
      </c>
      <c r="H28" s="10" t="s">
        <v>5</v>
      </c>
      <c r="I28" s="11" t="s">
        <v>6</v>
      </c>
      <c r="J28" s="16"/>
      <c r="K28" s="69">
        <f t="shared" si="7"/>
        <v>1</v>
      </c>
      <c r="L28">
        <f t="shared" si="8"/>
        <v>0</v>
      </c>
    </row>
    <row r="29" spans="1:12" ht="42.75" customHeight="1" x14ac:dyDescent="0.35">
      <c r="A29" s="15"/>
      <c r="B29" s="7" t="s">
        <v>99</v>
      </c>
      <c r="C29" s="8" t="s">
        <v>100</v>
      </c>
      <c r="D29" s="65" t="s">
        <v>25</v>
      </c>
      <c r="E29" s="66" t="s">
        <v>9</v>
      </c>
      <c r="F29" s="67" t="s">
        <v>28</v>
      </c>
      <c r="G29" s="9">
        <f t="shared" si="4"/>
        <v>0.4</v>
      </c>
      <c r="H29" s="10" t="s">
        <v>5</v>
      </c>
      <c r="I29" s="11" t="s">
        <v>289</v>
      </c>
      <c r="J29" s="16"/>
      <c r="K29" s="69">
        <f t="shared" si="7"/>
        <v>1</v>
      </c>
      <c r="L29">
        <f t="shared" si="8"/>
        <v>0</v>
      </c>
    </row>
    <row r="30" spans="1:12" ht="42.75" customHeight="1" x14ac:dyDescent="0.35">
      <c r="A30" s="15"/>
      <c r="B30" s="7" t="s">
        <v>101</v>
      </c>
      <c r="C30" s="8" t="s">
        <v>102</v>
      </c>
      <c r="D30" s="65" t="s">
        <v>25</v>
      </c>
      <c r="E30" s="66" t="s">
        <v>9</v>
      </c>
      <c r="F30" s="67" t="s">
        <v>28</v>
      </c>
      <c r="G30" s="9">
        <f t="shared" si="4"/>
        <v>0.4</v>
      </c>
      <c r="H30" s="10" t="s">
        <v>5</v>
      </c>
      <c r="I30" s="11" t="s">
        <v>6</v>
      </c>
      <c r="J30" s="16"/>
      <c r="K30" s="69">
        <f t="shared" si="7"/>
        <v>1</v>
      </c>
      <c r="L30">
        <f t="shared" si="8"/>
        <v>0</v>
      </c>
    </row>
    <row r="31" spans="1:12" ht="42.75" customHeight="1" x14ac:dyDescent="0.35">
      <c r="A31" s="15"/>
      <c r="B31" s="7" t="s">
        <v>103</v>
      </c>
      <c r="C31" s="8" t="s">
        <v>104</v>
      </c>
      <c r="D31" s="65" t="s">
        <v>25</v>
      </c>
      <c r="E31" s="66" t="s">
        <v>9</v>
      </c>
      <c r="F31" s="67" t="s">
        <v>28</v>
      </c>
      <c r="G31" s="9">
        <f t="shared" si="4"/>
        <v>0.4</v>
      </c>
      <c r="H31" s="10" t="s">
        <v>5</v>
      </c>
      <c r="I31" s="11" t="s">
        <v>6</v>
      </c>
      <c r="J31" s="16"/>
      <c r="K31" s="69">
        <f t="shared" si="7"/>
        <v>1</v>
      </c>
      <c r="L31">
        <f t="shared" si="8"/>
        <v>0</v>
      </c>
    </row>
    <row r="32" spans="1:12" ht="42.75" customHeight="1" x14ac:dyDescent="0.35">
      <c r="A32" s="15"/>
      <c r="B32" s="7" t="s">
        <v>105</v>
      </c>
      <c r="C32" s="8" t="s">
        <v>106</v>
      </c>
      <c r="D32" s="65" t="s">
        <v>25</v>
      </c>
      <c r="E32" s="66" t="s">
        <v>9</v>
      </c>
      <c r="F32" s="67" t="s">
        <v>28</v>
      </c>
      <c r="G32" s="9">
        <f t="shared" si="4"/>
        <v>0.4</v>
      </c>
      <c r="H32" s="10" t="s">
        <v>5</v>
      </c>
      <c r="I32" s="11" t="s">
        <v>6</v>
      </c>
      <c r="J32" s="16"/>
      <c r="K32" s="69">
        <f t="shared" si="7"/>
        <v>1</v>
      </c>
      <c r="L32">
        <f t="shared" si="8"/>
        <v>0</v>
      </c>
    </row>
    <row r="33" spans="1:12" ht="42.75" customHeight="1" x14ac:dyDescent="0.35">
      <c r="A33" s="15"/>
      <c r="B33" s="7" t="s">
        <v>107</v>
      </c>
      <c r="C33" s="8" t="s">
        <v>108</v>
      </c>
      <c r="D33" s="36" t="s">
        <v>9</v>
      </c>
      <c r="E33" s="37" t="s">
        <v>9</v>
      </c>
      <c r="F33" s="38" t="s">
        <v>28</v>
      </c>
      <c r="G33" s="9">
        <f t="shared" si="4"/>
        <v>0</v>
      </c>
      <c r="H33" s="10" t="s">
        <v>5</v>
      </c>
      <c r="I33" s="11" t="s">
        <v>290</v>
      </c>
      <c r="J33" s="16"/>
      <c r="K33" s="69">
        <f t="shared" si="7"/>
        <v>1</v>
      </c>
      <c r="L33">
        <f t="shared" si="8"/>
        <v>0</v>
      </c>
    </row>
    <row r="34" spans="1:12" x14ac:dyDescent="0.35">
      <c r="A34" s="15"/>
      <c r="B34" s="27"/>
      <c r="C34" s="28"/>
      <c r="D34" s="29"/>
      <c r="E34" s="29"/>
      <c r="F34" s="29"/>
      <c r="G34" s="30"/>
      <c r="H34" s="31"/>
      <c r="I34" s="32"/>
      <c r="J34" s="16"/>
      <c r="K34" s="69">
        <f t="shared" si="7"/>
        <v>0</v>
      </c>
      <c r="L34" t="str">
        <f t="shared" si="8"/>
        <v/>
      </c>
    </row>
    <row r="35" spans="1:12" ht="24" customHeight="1" x14ac:dyDescent="0.35">
      <c r="A35" s="15"/>
      <c r="B35" s="78" t="s">
        <v>109</v>
      </c>
      <c r="C35" s="78"/>
      <c r="D35" s="78"/>
      <c r="E35" s="78"/>
      <c r="F35" s="78"/>
      <c r="G35" s="78"/>
      <c r="H35" s="78"/>
      <c r="I35" s="78"/>
      <c r="J35" s="16"/>
      <c r="K35" s="69">
        <f t="shared" si="7"/>
        <v>0</v>
      </c>
      <c r="L35" t="str">
        <f t="shared" si="8"/>
        <v/>
      </c>
    </row>
    <row r="36" spans="1:12" ht="42.75" customHeight="1" x14ac:dyDescent="0.35">
      <c r="A36" s="15"/>
      <c r="B36" s="21" t="s">
        <v>0</v>
      </c>
      <c r="C36" s="21" t="s">
        <v>23</v>
      </c>
      <c r="D36" s="21" t="s">
        <v>1</v>
      </c>
      <c r="E36" s="21" t="s">
        <v>2</v>
      </c>
      <c r="F36" s="21" t="s">
        <v>3</v>
      </c>
      <c r="G36" s="21" t="s">
        <v>4</v>
      </c>
      <c r="H36" s="79" t="s">
        <v>11</v>
      </c>
      <c r="I36" s="79"/>
      <c r="J36" s="16"/>
      <c r="K36" s="69">
        <f t="shared" si="7"/>
        <v>0</v>
      </c>
      <c r="L36">
        <f t="shared" si="8"/>
        <v>0</v>
      </c>
    </row>
    <row r="37" spans="1:12" ht="42.75" customHeight="1" x14ac:dyDescent="0.35">
      <c r="A37" s="15"/>
      <c r="B37" s="7" t="s">
        <v>110</v>
      </c>
      <c r="C37" s="8" t="s">
        <v>111</v>
      </c>
      <c r="D37" s="33" t="s">
        <v>25</v>
      </c>
      <c r="E37" s="34" t="s">
        <v>9</v>
      </c>
      <c r="F37" s="35" t="s">
        <v>28</v>
      </c>
      <c r="G37" s="9">
        <f t="shared" si="4"/>
        <v>0.4</v>
      </c>
      <c r="H37" s="10" t="s">
        <v>5</v>
      </c>
      <c r="I37" s="11" t="s">
        <v>6</v>
      </c>
      <c r="J37" s="16"/>
      <c r="K37" s="69">
        <f t="shared" si="7"/>
        <v>1</v>
      </c>
      <c r="L37">
        <f t="shared" si="8"/>
        <v>0</v>
      </c>
    </row>
    <row r="38" spans="1:12" ht="42.75" customHeight="1" x14ac:dyDescent="0.35">
      <c r="A38" s="15"/>
      <c r="B38" s="7" t="s">
        <v>112</v>
      </c>
      <c r="C38" s="8" t="s">
        <v>113</v>
      </c>
      <c r="D38" s="65" t="s">
        <v>25</v>
      </c>
      <c r="E38" s="66" t="s">
        <v>9</v>
      </c>
      <c r="F38" s="67" t="s">
        <v>28</v>
      </c>
      <c r="G38" s="9">
        <f t="shared" si="4"/>
        <v>0.4</v>
      </c>
      <c r="H38" s="10" t="s">
        <v>5</v>
      </c>
      <c r="I38" s="11" t="s">
        <v>291</v>
      </c>
      <c r="J38" s="16"/>
      <c r="K38" s="69">
        <f t="shared" si="7"/>
        <v>1</v>
      </c>
      <c r="L38">
        <f t="shared" si="8"/>
        <v>0</v>
      </c>
    </row>
    <row r="39" spans="1:12" ht="42.75" customHeight="1" x14ac:dyDescent="0.35">
      <c r="A39" s="15"/>
      <c r="B39" s="7" t="s">
        <v>114</v>
      </c>
      <c r="C39" s="8" t="s">
        <v>115</v>
      </c>
      <c r="D39" s="65" t="s">
        <v>9</v>
      </c>
      <c r="E39" s="66" t="s">
        <v>9</v>
      </c>
      <c r="F39" s="67" t="s">
        <v>28</v>
      </c>
      <c r="G39" s="9">
        <f t="shared" si="4"/>
        <v>0</v>
      </c>
      <c r="H39" s="10" t="s">
        <v>5</v>
      </c>
      <c r="I39" s="11" t="s">
        <v>6</v>
      </c>
      <c r="J39" s="16"/>
      <c r="K39" s="69">
        <f t="shared" si="7"/>
        <v>1</v>
      </c>
      <c r="L39">
        <f t="shared" si="8"/>
        <v>0</v>
      </c>
    </row>
    <row r="40" spans="1:12" ht="42.75" customHeight="1" x14ac:dyDescent="0.35">
      <c r="A40" s="15"/>
      <c r="B40" s="7" t="s">
        <v>116</v>
      </c>
      <c r="C40" s="8" t="s">
        <v>117</v>
      </c>
      <c r="D40" s="65" t="s">
        <v>25</v>
      </c>
      <c r="E40" s="66" t="s">
        <v>9</v>
      </c>
      <c r="F40" s="67" t="s">
        <v>28</v>
      </c>
      <c r="G40" s="9">
        <f t="shared" si="4"/>
        <v>0.4</v>
      </c>
      <c r="H40" s="10" t="s">
        <v>5</v>
      </c>
      <c r="I40" s="11" t="s">
        <v>6</v>
      </c>
      <c r="J40" s="16"/>
      <c r="K40" s="69">
        <f t="shared" si="7"/>
        <v>1</v>
      </c>
      <c r="L40">
        <f t="shared" si="8"/>
        <v>0</v>
      </c>
    </row>
    <row r="41" spans="1:12" ht="42.75" customHeight="1" x14ac:dyDescent="0.35">
      <c r="A41" s="15"/>
      <c r="B41" s="7" t="s">
        <v>118</v>
      </c>
      <c r="C41" s="8" t="s">
        <v>119</v>
      </c>
      <c r="D41" s="65" t="s">
        <v>25</v>
      </c>
      <c r="E41" s="66" t="s">
        <v>9</v>
      </c>
      <c r="F41" s="67" t="s">
        <v>28</v>
      </c>
      <c r="G41" s="9">
        <f t="shared" si="4"/>
        <v>0.4</v>
      </c>
      <c r="H41" s="10" t="s">
        <v>5</v>
      </c>
      <c r="I41" s="11" t="s">
        <v>6</v>
      </c>
      <c r="J41" s="16"/>
      <c r="K41" s="69">
        <f t="shared" si="7"/>
        <v>1</v>
      </c>
      <c r="L41">
        <f t="shared" si="8"/>
        <v>0</v>
      </c>
    </row>
    <row r="42" spans="1:12" ht="42.75" customHeight="1" x14ac:dyDescent="0.35">
      <c r="A42" s="15"/>
      <c r="B42" s="7" t="s">
        <v>120</v>
      </c>
      <c r="C42" s="8" t="s">
        <v>121</v>
      </c>
      <c r="D42" s="65" t="s">
        <v>9</v>
      </c>
      <c r="E42" s="66" t="s">
        <v>9</v>
      </c>
      <c r="F42" s="67" t="s">
        <v>28</v>
      </c>
      <c r="G42" s="9">
        <f t="shared" si="4"/>
        <v>0</v>
      </c>
      <c r="H42" s="10" t="s">
        <v>5</v>
      </c>
      <c r="I42" s="11" t="s">
        <v>6</v>
      </c>
      <c r="J42" s="16"/>
      <c r="K42" s="69">
        <f t="shared" si="7"/>
        <v>1</v>
      </c>
      <c r="L42">
        <f t="shared" si="8"/>
        <v>0</v>
      </c>
    </row>
    <row r="43" spans="1:12" ht="42.75" customHeight="1" x14ac:dyDescent="0.35">
      <c r="A43" s="15"/>
      <c r="B43" s="7" t="s">
        <v>122</v>
      </c>
      <c r="C43" s="8" t="s">
        <v>123</v>
      </c>
      <c r="D43" s="36" t="s">
        <v>9</v>
      </c>
      <c r="E43" s="66" t="s">
        <v>9</v>
      </c>
      <c r="F43" s="67" t="s">
        <v>28</v>
      </c>
      <c r="G43" s="9">
        <f t="shared" si="4"/>
        <v>0</v>
      </c>
      <c r="H43" s="10" t="s">
        <v>5</v>
      </c>
      <c r="I43" s="11" t="s">
        <v>292</v>
      </c>
      <c r="J43" s="16"/>
      <c r="K43" s="69">
        <f t="shared" si="7"/>
        <v>1</v>
      </c>
      <c r="L43">
        <f t="shared" si="8"/>
        <v>0</v>
      </c>
    </row>
    <row r="44" spans="1:12" x14ac:dyDescent="0.35">
      <c r="A44" s="15"/>
      <c r="B44" s="27"/>
      <c r="C44" s="28"/>
      <c r="D44" s="29"/>
      <c r="E44" s="29"/>
      <c r="F44" s="29"/>
      <c r="G44" s="30"/>
      <c r="H44" s="31"/>
      <c r="I44" s="32"/>
      <c r="J44" s="16"/>
      <c r="K44" s="69">
        <f t="shared" si="7"/>
        <v>0</v>
      </c>
      <c r="L44" t="str">
        <f t="shared" si="8"/>
        <v/>
      </c>
    </row>
    <row r="45" spans="1:12" ht="25.5" customHeight="1" x14ac:dyDescent="0.35">
      <c r="A45" s="15"/>
      <c r="B45" s="78" t="s">
        <v>124</v>
      </c>
      <c r="C45" s="78"/>
      <c r="D45" s="78"/>
      <c r="E45" s="78"/>
      <c r="F45" s="78"/>
      <c r="G45" s="78"/>
      <c r="H45" s="78"/>
      <c r="I45" s="78"/>
      <c r="J45" s="16"/>
      <c r="K45" s="69">
        <f t="shared" si="7"/>
        <v>0</v>
      </c>
      <c r="L45" t="str">
        <f t="shared" si="8"/>
        <v/>
      </c>
    </row>
    <row r="46" spans="1:12" ht="42.75" customHeight="1" x14ac:dyDescent="0.35">
      <c r="A46" s="15"/>
      <c r="B46" s="21" t="s">
        <v>0</v>
      </c>
      <c r="C46" s="21" t="s">
        <v>23</v>
      </c>
      <c r="D46" s="21" t="s">
        <v>1</v>
      </c>
      <c r="E46" s="21" t="s">
        <v>2</v>
      </c>
      <c r="F46" s="21" t="s">
        <v>3</v>
      </c>
      <c r="G46" s="21" t="s">
        <v>4</v>
      </c>
      <c r="H46" s="79" t="s">
        <v>11</v>
      </c>
      <c r="I46" s="79"/>
      <c r="J46" s="16"/>
      <c r="K46" s="69">
        <f t="shared" si="7"/>
        <v>0</v>
      </c>
      <c r="L46">
        <f t="shared" si="8"/>
        <v>0</v>
      </c>
    </row>
    <row r="47" spans="1:12" ht="42.75" customHeight="1" x14ac:dyDescent="0.35">
      <c r="A47" s="15"/>
      <c r="B47" s="7" t="s">
        <v>125</v>
      </c>
      <c r="C47" s="8" t="s">
        <v>126</v>
      </c>
      <c r="D47" s="33" t="s">
        <v>25</v>
      </c>
      <c r="E47" s="66" t="s">
        <v>9</v>
      </c>
      <c r="F47" s="67" t="s">
        <v>28</v>
      </c>
      <c r="G47" s="9">
        <f t="shared" si="4"/>
        <v>0.4</v>
      </c>
      <c r="H47" s="10" t="s">
        <v>5</v>
      </c>
      <c r="I47" s="11" t="s">
        <v>6</v>
      </c>
      <c r="J47" s="16"/>
      <c r="K47" s="69">
        <f t="shared" si="7"/>
        <v>1</v>
      </c>
      <c r="L47">
        <f t="shared" si="8"/>
        <v>0</v>
      </c>
    </row>
    <row r="48" spans="1:12" ht="42.75" customHeight="1" x14ac:dyDescent="0.35">
      <c r="A48" s="15"/>
      <c r="B48" s="7" t="s">
        <v>127</v>
      </c>
      <c r="C48" s="8" t="s">
        <v>128</v>
      </c>
      <c r="D48" s="65" t="s">
        <v>9</v>
      </c>
      <c r="E48" s="66" t="s">
        <v>9</v>
      </c>
      <c r="F48" s="67" t="s">
        <v>28</v>
      </c>
      <c r="G48" s="9">
        <f t="shared" si="4"/>
        <v>0</v>
      </c>
      <c r="H48" s="10" t="s">
        <v>5</v>
      </c>
      <c r="I48" s="11" t="s">
        <v>293</v>
      </c>
      <c r="J48" s="16"/>
      <c r="K48" s="69">
        <f t="shared" si="7"/>
        <v>1</v>
      </c>
      <c r="L48">
        <f t="shared" si="8"/>
        <v>0</v>
      </c>
    </row>
    <row r="49" spans="1:12" ht="42.75" customHeight="1" x14ac:dyDescent="0.35">
      <c r="A49" s="15"/>
      <c r="B49" s="7" t="s">
        <v>129</v>
      </c>
      <c r="C49" s="8" t="s">
        <v>130</v>
      </c>
      <c r="D49" s="65" t="s">
        <v>25</v>
      </c>
      <c r="E49" s="66" t="s">
        <v>9</v>
      </c>
      <c r="F49" s="67" t="s">
        <v>28</v>
      </c>
      <c r="G49" s="9">
        <f t="shared" si="4"/>
        <v>0.4</v>
      </c>
      <c r="H49" s="10" t="s">
        <v>5</v>
      </c>
      <c r="I49" s="11" t="s">
        <v>6</v>
      </c>
      <c r="J49" s="16"/>
      <c r="K49" s="69">
        <f t="shared" si="7"/>
        <v>1</v>
      </c>
      <c r="L49">
        <f t="shared" si="8"/>
        <v>0</v>
      </c>
    </row>
    <row r="50" spans="1:12" ht="42.75" customHeight="1" x14ac:dyDescent="0.35">
      <c r="A50" s="15"/>
      <c r="B50" s="7" t="s">
        <v>131</v>
      </c>
      <c r="C50" s="8" t="s">
        <v>132</v>
      </c>
      <c r="D50" s="65" t="s">
        <v>9</v>
      </c>
      <c r="E50" s="66" t="s">
        <v>9</v>
      </c>
      <c r="F50" s="67" t="s">
        <v>28</v>
      </c>
      <c r="G50" s="9">
        <f t="shared" si="4"/>
        <v>0</v>
      </c>
      <c r="H50" s="10" t="s">
        <v>5</v>
      </c>
      <c r="I50" s="11" t="s">
        <v>6</v>
      </c>
      <c r="J50" s="16"/>
      <c r="K50" s="69">
        <f t="shared" si="7"/>
        <v>1</v>
      </c>
      <c r="L50">
        <f t="shared" si="8"/>
        <v>0</v>
      </c>
    </row>
    <row r="51" spans="1:12" ht="42.75" customHeight="1" x14ac:dyDescent="0.35">
      <c r="A51" s="15"/>
      <c r="B51" s="7" t="s">
        <v>133</v>
      </c>
      <c r="C51" s="8" t="s">
        <v>134</v>
      </c>
      <c r="D51" s="65" t="s">
        <v>25</v>
      </c>
      <c r="E51" s="66" t="s">
        <v>9</v>
      </c>
      <c r="F51" s="67" t="s">
        <v>28</v>
      </c>
      <c r="G51" s="9">
        <f t="shared" si="4"/>
        <v>0.4</v>
      </c>
      <c r="H51" s="10" t="s">
        <v>5</v>
      </c>
      <c r="I51" s="11" t="s">
        <v>294</v>
      </c>
      <c r="J51" s="16"/>
      <c r="K51" s="69">
        <f t="shared" si="7"/>
        <v>1</v>
      </c>
      <c r="L51">
        <f t="shared" si="8"/>
        <v>0</v>
      </c>
    </row>
    <row r="52" spans="1:12" ht="42.75" customHeight="1" x14ac:dyDescent="0.35">
      <c r="A52" s="15"/>
      <c r="B52" s="7" t="s">
        <v>135</v>
      </c>
      <c r="C52" s="8" t="s">
        <v>136</v>
      </c>
      <c r="D52" s="65" t="s">
        <v>25</v>
      </c>
      <c r="E52" s="66" t="s">
        <v>9</v>
      </c>
      <c r="F52" s="67" t="s">
        <v>28</v>
      </c>
      <c r="G52" s="9">
        <f t="shared" si="4"/>
        <v>0.4</v>
      </c>
      <c r="H52" s="10" t="s">
        <v>5</v>
      </c>
      <c r="I52" s="11" t="s">
        <v>6</v>
      </c>
      <c r="J52" s="16"/>
      <c r="K52" s="69">
        <f t="shared" si="7"/>
        <v>1</v>
      </c>
      <c r="L52">
        <f t="shared" si="8"/>
        <v>0</v>
      </c>
    </row>
    <row r="53" spans="1:12" ht="42.75" customHeight="1" x14ac:dyDescent="0.35">
      <c r="A53" s="15"/>
      <c r="B53" s="7" t="s">
        <v>137</v>
      </c>
      <c r="C53" s="8" t="s">
        <v>138</v>
      </c>
      <c r="D53" s="36" t="s">
        <v>25</v>
      </c>
      <c r="E53" s="37" t="s">
        <v>9</v>
      </c>
      <c r="F53" s="38" t="s">
        <v>28</v>
      </c>
      <c r="G53" s="9">
        <f t="shared" si="4"/>
        <v>0.4</v>
      </c>
      <c r="H53" s="10" t="s">
        <v>5</v>
      </c>
      <c r="I53" s="11" t="s">
        <v>6</v>
      </c>
      <c r="J53" s="16"/>
      <c r="K53" s="69">
        <f t="shared" si="7"/>
        <v>1</v>
      </c>
      <c r="L53">
        <f t="shared" si="8"/>
        <v>0</v>
      </c>
    </row>
    <row r="54" spans="1:12" x14ac:dyDescent="0.35">
      <c r="A54" s="15"/>
      <c r="B54" s="27"/>
      <c r="C54" s="28"/>
      <c r="D54" s="29"/>
      <c r="E54" s="29"/>
      <c r="F54" s="29"/>
      <c r="G54" s="30"/>
      <c r="H54" s="31"/>
      <c r="I54" s="32"/>
      <c r="J54" s="16"/>
      <c r="K54" s="69">
        <f t="shared" si="7"/>
        <v>0</v>
      </c>
      <c r="L54" t="str">
        <f t="shared" si="8"/>
        <v/>
      </c>
    </row>
    <row r="55" spans="1:12" ht="21.75" customHeight="1" x14ac:dyDescent="0.35">
      <c r="A55" s="15"/>
      <c r="B55" s="78" t="s">
        <v>139</v>
      </c>
      <c r="C55" s="78"/>
      <c r="D55" s="78"/>
      <c r="E55" s="78"/>
      <c r="F55" s="78"/>
      <c r="G55" s="78"/>
      <c r="H55" s="78"/>
      <c r="I55" s="78"/>
      <c r="J55" s="16"/>
      <c r="K55" s="69">
        <f t="shared" si="7"/>
        <v>0</v>
      </c>
      <c r="L55" t="str">
        <f t="shared" si="8"/>
        <v/>
      </c>
    </row>
    <row r="56" spans="1:12" ht="42.75" customHeight="1" x14ac:dyDescent="0.35">
      <c r="A56" s="15"/>
      <c r="B56" s="21" t="s">
        <v>0</v>
      </c>
      <c r="C56" s="21" t="s">
        <v>23</v>
      </c>
      <c r="D56" s="21" t="s">
        <v>1</v>
      </c>
      <c r="E56" s="21" t="s">
        <v>2</v>
      </c>
      <c r="F56" s="21" t="s">
        <v>3</v>
      </c>
      <c r="G56" s="21" t="s">
        <v>4</v>
      </c>
      <c r="H56" s="79" t="s">
        <v>11</v>
      </c>
      <c r="I56" s="79"/>
      <c r="J56" s="16"/>
      <c r="K56" s="69">
        <f t="shared" si="7"/>
        <v>0</v>
      </c>
      <c r="L56">
        <f t="shared" si="8"/>
        <v>0</v>
      </c>
    </row>
    <row r="57" spans="1:12" ht="42.75" customHeight="1" x14ac:dyDescent="0.35">
      <c r="A57" s="15"/>
      <c r="B57" s="7" t="s">
        <v>140</v>
      </c>
      <c r="C57" s="8" t="s">
        <v>141</v>
      </c>
      <c r="D57" s="33" t="s">
        <v>25</v>
      </c>
      <c r="E57" s="66" t="s">
        <v>9</v>
      </c>
      <c r="F57" s="67" t="s">
        <v>28</v>
      </c>
      <c r="G57" s="9">
        <f t="shared" ref="G57:G117" si="9">IF(D57="","",IF(D57="No",0,0.4+IF(E57="Si",0.3,0)+IF(F57="Actualizado",0.3,IF(F57="Desactualizado",0.15,0))))</f>
        <v>0.4</v>
      </c>
      <c r="H57" s="10" t="s">
        <v>5</v>
      </c>
      <c r="I57" s="11" t="s">
        <v>6</v>
      </c>
      <c r="J57" s="16"/>
      <c r="K57" s="69">
        <f t="shared" si="7"/>
        <v>1</v>
      </c>
      <c r="L57">
        <f t="shared" si="8"/>
        <v>0</v>
      </c>
    </row>
    <row r="58" spans="1:12" ht="42.75" customHeight="1" x14ac:dyDescent="0.35">
      <c r="A58" s="15"/>
      <c r="B58" s="7" t="s">
        <v>142</v>
      </c>
      <c r="C58" s="8" t="s">
        <v>143</v>
      </c>
      <c r="D58" s="65" t="s">
        <v>25</v>
      </c>
      <c r="E58" s="66" t="s">
        <v>9</v>
      </c>
      <c r="F58" s="67" t="s">
        <v>28</v>
      </c>
      <c r="G58" s="9">
        <f t="shared" si="9"/>
        <v>0.4</v>
      </c>
      <c r="H58" s="10" t="s">
        <v>5</v>
      </c>
      <c r="I58" s="11" t="s">
        <v>6</v>
      </c>
      <c r="J58" s="16"/>
      <c r="K58" s="69">
        <f t="shared" si="7"/>
        <v>1</v>
      </c>
      <c r="L58">
        <f t="shared" si="8"/>
        <v>0</v>
      </c>
    </row>
    <row r="59" spans="1:12" ht="42.75" customHeight="1" x14ac:dyDescent="0.35">
      <c r="A59" s="15"/>
      <c r="B59" s="7" t="s">
        <v>144</v>
      </c>
      <c r="C59" s="8" t="s">
        <v>145</v>
      </c>
      <c r="D59" s="65" t="s">
        <v>25</v>
      </c>
      <c r="E59" s="66" t="s">
        <v>9</v>
      </c>
      <c r="F59" s="67" t="s">
        <v>28</v>
      </c>
      <c r="G59" s="9">
        <f t="shared" si="9"/>
        <v>0.4</v>
      </c>
      <c r="H59" s="10" t="s">
        <v>5</v>
      </c>
      <c r="I59" s="11" t="s">
        <v>6</v>
      </c>
      <c r="J59" s="16"/>
      <c r="K59" s="69">
        <f t="shared" si="7"/>
        <v>1</v>
      </c>
      <c r="L59">
        <f t="shared" si="8"/>
        <v>0</v>
      </c>
    </row>
    <row r="60" spans="1:12" ht="42.75" customHeight="1" x14ac:dyDescent="0.35">
      <c r="A60" s="15"/>
      <c r="B60" s="7" t="s">
        <v>146</v>
      </c>
      <c r="C60" s="8" t="s">
        <v>147</v>
      </c>
      <c r="D60" s="65" t="s">
        <v>9</v>
      </c>
      <c r="E60" s="66" t="s">
        <v>9</v>
      </c>
      <c r="F60" s="67" t="s">
        <v>28</v>
      </c>
      <c r="G60" s="9">
        <f t="shared" si="9"/>
        <v>0</v>
      </c>
      <c r="H60" s="10" t="s">
        <v>5</v>
      </c>
      <c r="I60" s="11" t="s">
        <v>6</v>
      </c>
      <c r="J60" s="16"/>
      <c r="K60" s="69">
        <f t="shared" si="7"/>
        <v>1</v>
      </c>
      <c r="L60">
        <f t="shared" si="8"/>
        <v>0</v>
      </c>
    </row>
    <row r="61" spans="1:12" ht="42.75" customHeight="1" x14ac:dyDescent="0.35">
      <c r="A61" s="15"/>
      <c r="B61" s="7" t="s">
        <v>148</v>
      </c>
      <c r="C61" s="8" t="s">
        <v>149</v>
      </c>
      <c r="D61" s="65" t="s">
        <v>9</v>
      </c>
      <c r="E61" s="66" t="s">
        <v>9</v>
      </c>
      <c r="F61" s="67" t="s">
        <v>28</v>
      </c>
      <c r="G61" s="9">
        <f t="shared" si="9"/>
        <v>0</v>
      </c>
      <c r="H61" s="10" t="s">
        <v>5</v>
      </c>
      <c r="I61" s="11" t="s">
        <v>6</v>
      </c>
      <c r="J61" s="16"/>
      <c r="K61" s="69">
        <f t="shared" si="7"/>
        <v>1</v>
      </c>
      <c r="L61">
        <f t="shared" si="8"/>
        <v>0</v>
      </c>
    </row>
    <row r="62" spans="1:12" ht="42.75" customHeight="1" x14ac:dyDescent="0.35">
      <c r="A62" s="15"/>
      <c r="B62" s="7" t="s">
        <v>150</v>
      </c>
      <c r="C62" s="8" t="s">
        <v>151</v>
      </c>
      <c r="D62" s="65" t="s">
        <v>25</v>
      </c>
      <c r="E62" s="66" t="s">
        <v>9</v>
      </c>
      <c r="F62" s="67" t="s">
        <v>28</v>
      </c>
      <c r="G62" s="9">
        <f t="shared" si="9"/>
        <v>0.4</v>
      </c>
      <c r="H62" s="10" t="s">
        <v>5</v>
      </c>
      <c r="I62" s="11" t="s">
        <v>295</v>
      </c>
      <c r="J62" s="16"/>
      <c r="K62" s="69">
        <f t="shared" si="7"/>
        <v>1</v>
      </c>
      <c r="L62">
        <f t="shared" si="8"/>
        <v>0</v>
      </c>
    </row>
    <row r="63" spans="1:12" ht="42.75" customHeight="1" x14ac:dyDescent="0.35">
      <c r="A63" s="15"/>
      <c r="B63" s="7" t="s">
        <v>152</v>
      </c>
      <c r="C63" s="8" t="s">
        <v>153</v>
      </c>
      <c r="D63" s="36" t="s">
        <v>9</v>
      </c>
      <c r="E63" s="66" t="s">
        <v>9</v>
      </c>
      <c r="F63" s="67" t="s">
        <v>28</v>
      </c>
      <c r="G63" s="9">
        <f t="shared" si="9"/>
        <v>0</v>
      </c>
      <c r="H63" s="10" t="s">
        <v>5</v>
      </c>
      <c r="I63" s="11" t="s">
        <v>6</v>
      </c>
      <c r="J63" s="16"/>
      <c r="K63" s="69">
        <f t="shared" si="7"/>
        <v>1</v>
      </c>
      <c r="L63">
        <f t="shared" si="8"/>
        <v>0</v>
      </c>
    </row>
    <row r="64" spans="1:12" x14ac:dyDescent="0.35">
      <c r="A64" s="15"/>
      <c r="B64" s="27"/>
      <c r="C64" s="28"/>
      <c r="D64" s="29"/>
      <c r="E64" s="29"/>
      <c r="F64" s="29"/>
      <c r="G64" s="30"/>
      <c r="H64" s="31"/>
      <c r="I64" s="32"/>
      <c r="J64" s="16"/>
      <c r="K64" s="69">
        <f t="shared" si="7"/>
        <v>0</v>
      </c>
      <c r="L64" t="str">
        <f t="shared" si="8"/>
        <v/>
      </c>
    </row>
    <row r="65" spans="1:12" ht="25.5" customHeight="1" x14ac:dyDescent="0.35">
      <c r="A65" s="15"/>
      <c r="B65" s="78" t="s">
        <v>154</v>
      </c>
      <c r="C65" s="78"/>
      <c r="D65" s="78"/>
      <c r="E65" s="78"/>
      <c r="F65" s="78"/>
      <c r="G65" s="78"/>
      <c r="H65" s="78"/>
      <c r="I65" s="78"/>
      <c r="J65" s="16"/>
      <c r="K65" s="69">
        <f t="shared" si="7"/>
        <v>0</v>
      </c>
      <c r="L65" t="str">
        <f t="shared" si="8"/>
        <v/>
      </c>
    </row>
    <row r="66" spans="1:12" ht="42.75" customHeight="1" x14ac:dyDescent="0.35">
      <c r="A66" s="15"/>
      <c r="B66" s="21" t="s">
        <v>0</v>
      </c>
      <c r="C66" s="21" t="s">
        <v>23</v>
      </c>
      <c r="D66" s="21" t="s">
        <v>1</v>
      </c>
      <c r="E66" s="21" t="s">
        <v>2</v>
      </c>
      <c r="F66" s="21" t="s">
        <v>3</v>
      </c>
      <c r="G66" s="21" t="s">
        <v>4</v>
      </c>
      <c r="H66" s="79" t="s">
        <v>11</v>
      </c>
      <c r="I66" s="79"/>
      <c r="J66" s="16"/>
      <c r="K66" s="69">
        <f t="shared" si="7"/>
        <v>0</v>
      </c>
      <c r="L66">
        <f t="shared" si="8"/>
        <v>0</v>
      </c>
    </row>
    <row r="67" spans="1:12" ht="42.75" customHeight="1" x14ac:dyDescent="0.35">
      <c r="A67" s="15"/>
      <c r="B67" s="7" t="s">
        <v>155</v>
      </c>
      <c r="C67" s="8" t="s">
        <v>156</v>
      </c>
      <c r="D67" s="33" t="s">
        <v>25</v>
      </c>
      <c r="E67" s="66" t="s">
        <v>9</v>
      </c>
      <c r="F67" s="67" t="s">
        <v>28</v>
      </c>
      <c r="G67" s="9">
        <f t="shared" si="9"/>
        <v>0.4</v>
      </c>
      <c r="H67" s="10" t="s">
        <v>5</v>
      </c>
      <c r="I67" s="11" t="s">
        <v>6</v>
      </c>
      <c r="J67" s="16"/>
      <c r="K67" s="69">
        <f t="shared" si="7"/>
        <v>1</v>
      </c>
      <c r="L67">
        <f t="shared" si="8"/>
        <v>0</v>
      </c>
    </row>
    <row r="68" spans="1:12" ht="42.75" customHeight="1" x14ac:dyDescent="0.35">
      <c r="A68" s="15"/>
      <c r="B68" s="7" t="s">
        <v>157</v>
      </c>
      <c r="C68" s="8" t="s">
        <v>158</v>
      </c>
      <c r="D68" s="65" t="s">
        <v>25</v>
      </c>
      <c r="E68" s="66" t="s">
        <v>9</v>
      </c>
      <c r="F68" s="67" t="s">
        <v>28</v>
      </c>
      <c r="G68" s="9">
        <f t="shared" si="9"/>
        <v>0.4</v>
      </c>
      <c r="H68" s="10" t="s">
        <v>5</v>
      </c>
      <c r="I68" s="11" t="s">
        <v>6</v>
      </c>
      <c r="J68" s="16"/>
      <c r="K68" s="69">
        <f t="shared" si="7"/>
        <v>1</v>
      </c>
      <c r="L68">
        <f t="shared" si="8"/>
        <v>0</v>
      </c>
    </row>
    <row r="69" spans="1:12" ht="42.75" customHeight="1" x14ac:dyDescent="0.35">
      <c r="A69" s="15"/>
      <c r="B69" s="7" t="s">
        <v>159</v>
      </c>
      <c r="C69" s="8" t="s">
        <v>160</v>
      </c>
      <c r="D69" s="65" t="s">
        <v>25</v>
      </c>
      <c r="E69" s="66" t="s">
        <v>9</v>
      </c>
      <c r="F69" s="67" t="s">
        <v>28</v>
      </c>
      <c r="G69" s="9">
        <f t="shared" si="9"/>
        <v>0.4</v>
      </c>
      <c r="H69" s="10" t="s">
        <v>5</v>
      </c>
      <c r="I69" s="11" t="s">
        <v>296</v>
      </c>
      <c r="J69" s="16"/>
      <c r="K69" s="69">
        <f t="shared" si="7"/>
        <v>1</v>
      </c>
      <c r="L69">
        <f t="shared" si="8"/>
        <v>0</v>
      </c>
    </row>
    <row r="70" spans="1:12" ht="42.75" customHeight="1" x14ac:dyDescent="0.35">
      <c r="A70" s="15"/>
      <c r="B70" s="7" t="s">
        <v>161</v>
      </c>
      <c r="C70" s="8" t="s">
        <v>162</v>
      </c>
      <c r="D70" s="65" t="s">
        <v>9</v>
      </c>
      <c r="E70" s="66" t="s">
        <v>9</v>
      </c>
      <c r="F70" s="67" t="s">
        <v>28</v>
      </c>
      <c r="G70" s="9">
        <f t="shared" si="9"/>
        <v>0</v>
      </c>
      <c r="H70" s="10" t="s">
        <v>5</v>
      </c>
      <c r="I70" s="11" t="s">
        <v>6</v>
      </c>
      <c r="J70" s="16"/>
      <c r="K70" s="69">
        <f t="shared" si="7"/>
        <v>1</v>
      </c>
      <c r="L70">
        <f t="shared" si="8"/>
        <v>0</v>
      </c>
    </row>
    <row r="71" spans="1:12" ht="42.75" customHeight="1" x14ac:dyDescent="0.35">
      <c r="A71" s="15"/>
      <c r="B71" s="7" t="s">
        <v>163</v>
      </c>
      <c r="C71" s="8" t="s">
        <v>164</v>
      </c>
      <c r="D71" s="65" t="s">
        <v>25</v>
      </c>
      <c r="E71" s="66" t="s">
        <v>9</v>
      </c>
      <c r="F71" s="67" t="s">
        <v>28</v>
      </c>
      <c r="G71" s="9">
        <f t="shared" si="9"/>
        <v>0.4</v>
      </c>
      <c r="H71" s="10" t="s">
        <v>5</v>
      </c>
      <c r="I71" s="11" t="s">
        <v>297</v>
      </c>
      <c r="J71" s="16"/>
      <c r="K71" s="69">
        <f t="shared" si="7"/>
        <v>1</v>
      </c>
      <c r="L71">
        <f t="shared" si="8"/>
        <v>0</v>
      </c>
    </row>
    <row r="72" spans="1:12" ht="42.75" customHeight="1" x14ac:dyDescent="0.35">
      <c r="A72" s="15"/>
      <c r="B72" s="7" t="s">
        <v>165</v>
      </c>
      <c r="C72" s="8" t="s">
        <v>166</v>
      </c>
      <c r="D72" s="65" t="s">
        <v>25</v>
      </c>
      <c r="E72" s="66" t="s">
        <v>9</v>
      </c>
      <c r="F72" s="67" t="s">
        <v>28</v>
      </c>
      <c r="G72" s="9">
        <f t="shared" si="9"/>
        <v>0.4</v>
      </c>
      <c r="H72" s="10" t="s">
        <v>5</v>
      </c>
      <c r="I72" s="11" t="s">
        <v>297</v>
      </c>
      <c r="J72" s="16"/>
      <c r="K72" s="69">
        <f t="shared" si="7"/>
        <v>1</v>
      </c>
      <c r="L72">
        <f t="shared" si="8"/>
        <v>0</v>
      </c>
    </row>
    <row r="73" spans="1:12" ht="42.75" customHeight="1" x14ac:dyDescent="0.35">
      <c r="A73" s="15"/>
      <c r="B73" s="7" t="s">
        <v>167</v>
      </c>
      <c r="C73" s="8" t="s">
        <v>168</v>
      </c>
      <c r="D73" s="65" t="s">
        <v>25</v>
      </c>
      <c r="E73" s="66" t="s">
        <v>9</v>
      </c>
      <c r="F73" s="67" t="s">
        <v>28</v>
      </c>
      <c r="G73" s="9">
        <f t="shared" si="9"/>
        <v>0.4</v>
      </c>
      <c r="H73" s="10" t="s">
        <v>5</v>
      </c>
      <c r="I73" s="11" t="s">
        <v>6</v>
      </c>
      <c r="J73" s="16"/>
      <c r="K73" s="69">
        <f t="shared" si="7"/>
        <v>1</v>
      </c>
      <c r="L73">
        <f t="shared" si="8"/>
        <v>0</v>
      </c>
    </row>
    <row r="74" spans="1:12" ht="42.75" customHeight="1" x14ac:dyDescent="0.35">
      <c r="A74" s="15"/>
      <c r="B74" s="7" t="s">
        <v>169</v>
      </c>
      <c r="C74" s="8" t="s">
        <v>170</v>
      </c>
      <c r="D74" s="65" t="s">
        <v>25</v>
      </c>
      <c r="E74" s="66" t="s">
        <v>9</v>
      </c>
      <c r="F74" s="67" t="s">
        <v>28</v>
      </c>
      <c r="G74" s="9">
        <f t="shared" si="9"/>
        <v>0.4</v>
      </c>
      <c r="H74" s="10" t="s">
        <v>5</v>
      </c>
      <c r="I74" s="11" t="s">
        <v>6</v>
      </c>
      <c r="J74" s="16"/>
      <c r="K74" s="69">
        <f t="shared" si="7"/>
        <v>1</v>
      </c>
      <c r="L74">
        <f t="shared" si="8"/>
        <v>0</v>
      </c>
    </row>
    <row r="75" spans="1:12" ht="42.75" customHeight="1" x14ac:dyDescent="0.35">
      <c r="A75" s="15"/>
      <c r="B75" s="7" t="s">
        <v>171</v>
      </c>
      <c r="C75" s="8" t="s">
        <v>172</v>
      </c>
      <c r="D75" s="65" t="s">
        <v>25</v>
      </c>
      <c r="E75" s="66" t="s">
        <v>9</v>
      </c>
      <c r="F75" s="67" t="s">
        <v>28</v>
      </c>
      <c r="G75" s="9">
        <f t="shared" si="9"/>
        <v>0.4</v>
      </c>
      <c r="H75" s="10" t="s">
        <v>5</v>
      </c>
      <c r="I75" s="11" t="s">
        <v>6</v>
      </c>
      <c r="J75" s="16"/>
      <c r="K75" s="69">
        <f t="shared" si="7"/>
        <v>1</v>
      </c>
      <c r="L75">
        <f t="shared" si="8"/>
        <v>0</v>
      </c>
    </row>
    <row r="76" spans="1:12" ht="42.75" customHeight="1" x14ac:dyDescent="0.35">
      <c r="A76" s="15"/>
      <c r="B76" s="7" t="s">
        <v>173</v>
      </c>
      <c r="C76" s="8" t="s">
        <v>174</v>
      </c>
      <c r="D76" s="65" t="s">
        <v>25</v>
      </c>
      <c r="E76" s="66" t="s">
        <v>9</v>
      </c>
      <c r="F76" s="67" t="s">
        <v>28</v>
      </c>
      <c r="G76" s="9">
        <f t="shared" si="9"/>
        <v>0.4</v>
      </c>
      <c r="H76" s="10" t="s">
        <v>5</v>
      </c>
      <c r="I76" s="11" t="s">
        <v>6</v>
      </c>
      <c r="J76" s="16"/>
      <c r="K76" s="69">
        <f t="shared" si="7"/>
        <v>1</v>
      </c>
      <c r="L76">
        <f t="shared" si="8"/>
        <v>0</v>
      </c>
    </row>
    <row r="77" spans="1:12" ht="42.75" customHeight="1" x14ac:dyDescent="0.35">
      <c r="A77" s="15"/>
      <c r="B77" s="7" t="s">
        <v>175</v>
      </c>
      <c r="C77" s="8" t="s">
        <v>176</v>
      </c>
      <c r="D77" s="65" t="s">
        <v>25</v>
      </c>
      <c r="E77" s="66" t="s">
        <v>9</v>
      </c>
      <c r="F77" s="67" t="s">
        <v>28</v>
      </c>
      <c r="G77" s="9">
        <f t="shared" si="9"/>
        <v>0.4</v>
      </c>
      <c r="H77" s="10" t="s">
        <v>5</v>
      </c>
      <c r="I77" s="11" t="s">
        <v>6</v>
      </c>
      <c r="J77" s="16"/>
      <c r="K77" s="69">
        <f t="shared" si="7"/>
        <v>1</v>
      </c>
      <c r="L77">
        <f t="shared" si="8"/>
        <v>0</v>
      </c>
    </row>
    <row r="78" spans="1:12" ht="42.75" customHeight="1" x14ac:dyDescent="0.35">
      <c r="A78" s="15"/>
      <c r="B78" s="7" t="s">
        <v>177</v>
      </c>
      <c r="C78" s="8" t="s">
        <v>178</v>
      </c>
      <c r="D78" s="65" t="s">
        <v>25</v>
      </c>
      <c r="E78" s="66" t="s">
        <v>9</v>
      </c>
      <c r="F78" s="67" t="s">
        <v>28</v>
      </c>
      <c r="G78" s="9">
        <f t="shared" si="9"/>
        <v>0.4</v>
      </c>
      <c r="H78" s="10" t="s">
        <v>5</v>
      </c>
      <c r="I78" s="11" t="s">
        <v>6</v>
      </c>
      <c r="J78" s="16"/>
      <c r="K78" s="69">
        <f t="shared" si="7"/>
        <v>1</v>
      </c>
      <c r="L78">
        <f t="shared" si="8"/>
        <v>0</v>
      </c>
    </row>
    <row r="79" spans="1:12" x14ac:dyDescent="0.35">
      <c r="A79" s="15"/>
      <c r="B79" s="27"/>
      <c r="C79" s="28"/>
      <c r="D79" s="29"/>
      <c r="E79" s="29"/>
      <c r="F79" s="29"/>
      <c r="G79" s="30"/>
      <c r="H79" s="31"/>
      <c r="I79" s="32"/>
      <c r="J79" s="16"/>
      <c r="K79" s="69">
        <f t="shared" ref="K79:K120" si="10">IF(H79="Detalle:",1,0)</f>
        <v>0</v>
      </c>
      <c r="L79" t="str">
        <f t="shared" ref="L79:L120" si="11">IF(E79="","",IF(AND(E79="No",F79&lt;&gt;"Inexistente"),1,0))</f>
        <v/>
      </c>
    </row>
    <row r="80" spans="1:12" ht="21" customHeight="1" x14ac:dyDescent="0.35">
      <c r="A80" s="15"/>
      <c r="B80" s="78" t="s">
        <v>179</v>
      </c>
      <c r="C80" s="78"/>
      <c r="D80" s="78"/>
      <c r="E80" s="78"/>
      <c r="F80" s="78"/>
      <c r="G80" s="78"/>
      <c r="H80" s="78"/>
      <c r="I80" s="78"/>
      <c r="J80" s="16"/>
      <c r="K80" s="69">
        <f t="shared" si="10"/>
        <v>0</v>
      </c>
      <c r="L80" t="str">
        <f t="shared" si="11"/>
        <v/>
      </c>
    </row>
    <row r="81" spans="1:12" ht="42.75" customHeight="1" x14ac:dyDescent="0.35">
      <c r="A81" s="15"/>
      <c r="B81" s="21" t="s">
        <v>0</v>
      </c>
      <c r="C81" s="21" t="s">
        <v>23</v>
      </c>
      <c r="D81" s="21" t="s">
        <v>1</v>
      </c>
      <c r="E81" s="21" t="s">
        <v>2</v>
      </c>
      <c r="F81" s="21" t="s">
        <v>3</v>
      </c>
      <c r="G81" s="21" t="s">
        <v>4</v>
      </c>
      <c r="H81" s="79" t="s">
        <v>11</v>
      </c>
      <c r="I81" s="79"/>
      <c r="J81" s="16"/>
      <c r="K81" s="69">
        <f t="shared" si="10"/>
        <v>0</v>
      </c>
      <c r="L81">
        <f t="shared" si="11"/>
        <v>0</v>
      </c>
    </row>
    <row r="82" spans="1:12" ht="42.75" customHeight="1" x14ac:dyDescent="0.35">
      <c r="A82" s="15"/>
      <c r="B82" s="7" t="s">
        <v>180</v>
      </c>
      <c r="C82" s="8" t="s">
        <v>181</v>
      </c>
      <c r="D82" s="33" t="s">
        <v>25</v>
      </c>
      <c r="E82" s="34" t="s">
        <v>9</v>
      </c>
      <c r="F82" s="35" t="s">
        <v>28</v>
      </c>
      <c r="G82" s="9">
        <f t="shared" si="9"/>
        <v>0.4</v>
      </c>
      <c r="H82" s="10" t="s">
        <v>5</v>
      </c>
      <c r="I82" s="11" t="s">
        <v>6</v>
      </c>
      <c r="J82" s="16"/>
      <c r="K82" s="69">
        <f t="shared" si="10"/>
        <v>1</v>
      </c>
      <c r="L82">
        <f t="shared" si="11"/>
        <v>0</v>
      </c>
    </row>
    <row r="83" spans="1:12" ht="42.75" customHeight="1" x14ac:dyDescent="0.35">
      <c r="A83" s="15"/>
      <c r="B83" s="7" t="s">
        <v>182</v>
      </c>
      <c r="C83" s="8" t="s">
        <v>183</v>
      </c>
      <c r="D83" s="33" t="s">
        <v>25</v>
      </c>
      <c r="E83" s="34" t="s">
        <v>9</v>
      </c>
      <c r="F83" s="35" t="s">
        <v>28</v>
      </c>
      <c r="G83" s="9">
        <f t="shared" si="9"/>
        <v>0.4</v>
      </c>
      <c r="H83" s="10" t="s">
        <v>5</v>
      </c>
      <c r="I83" s="11" t="s">
        <v>6</v>
      </c>
      <c r="J83" s="16"/>
      <c r="K83" s="69">
        <f t="shared" si="10"/>
        <v>1</v>
      </c>
      <c r="L83">
        <f t="shared" si="11"/>
        <v>0</v>
      </c>
    </row>
    <row r="84" spans="1:12" ht="42.75" customHeight="1" x14ac:dyDescent="0.35">
      <c r="A84" s="15"/>
      <c r="B84" s="7" t="s">
        <v>184</v>
      </c>
      <c r="C84" s="8" t="s">
        <v>185</v>
      </c>
      <c r="D84" s="33" t="s">
        <v>25</v>
      </c>
      <c r="E84" s="34" t="s">
        <v>9</v>
      </c>
      <c r="F84" s="35" t="s">
        <v>28</v>
      </c>
      <c r="G84" s="9">
        <f t="shared" si="9"/>
        <v>0.4</v>
      </c>
      <c r="H84" s="10" t="s">
        <v>5</v>
      </c>
      <c r="I84" s="11" t="s">
        <v>6</v>
      </c>
      <c r="J84" s="16"/>
      <c r="K84" s="69">
        <f t="shared" si="10"/>
        <v>1</v>
      </c>
      <c r="L84">
        <f t="shared" si="11"/>
        <v>0</v>
      </c>
    </row>
    <row r="85" spans="1:12" ht="42.75" customHeight="1" x14ac:dyDescent="0.35">
      <c r="A85" s="15"/>
      <c r="B85" s="7" t="s">
        <v>186</v>
      </c>
      <c r="C85" s="8" t="s">
        <v>187</v>
      </c>
      <c r="D85" s="33" t="s">
        <v>25</v>
      </c>
      <c r="E85" s="34" t="s">
        <v>9</v>
      </c>
      <c r="F85" s="35" t="s">
        <v>28</v>
      </c>
      <c r="G85" s="9">
        <f t="shared" si="9"/>
        <v>0.4</v>
      </c>
      <c r="H85" s="10" t="s">
        <v>5</v>
      </c>
      <c r="I85" s="11" t="s">
        <v>6</v>
      </c>
      <c r="J85" s="16"/>
      <c r="K85" s="69">
        <f t="shared" si="10"/>
        <v>1</v>
      </c>
      <c r="L85">
        <f t="shared" si="11"/>
        <v>0</v>
      </c>
    </row>
    <row r="86" spans="1:12" ht="42.75" customHeight="1" x14ac:dyDescent="0.35">
      <c r="A86" s="15"/>
      <c r="B86" s="7" t="s">
        <v>188</v>
      </c>
      <c r="C86" s="8" t="s">
        <v>189</v>
      </c>
      <c r="D86" s="33" t="s">
        <v>25</v>
      </c>
      <c r="E86" s="34" t="s">
        <v>9</v>
      </c>
      <c r="F86" s="35" t="s">
        <v>28</v>
      </c>
      <c r="G86" s="9">
        <f t="shared" si="9"/>
        <v>0.4</v>
      </c>
      <c r="H86" s="10" t="s">
        <v>5</v>
      </c>
      <c r="I86" s="11" t="s">
        <v>6</v>
      </c>
      <c r="J86" s="16"/>
      <c r="K86" s="69">
        <f t="shared" si="10"/>
        <v>1</v>
      </c>
      <c r="L86">
        <f t="shared" si="11"/>
        <v>0</v>
      </c>
    </row>
    <row r="87" spans="1:12" ht="42.75" customHeight="1" x14ac:dyDescent="0.35">
      <c r="A87" s="15"/>
      <c r="B87" s="7" t="s">
        <v>190</v>
      </c>
      <c r="C87" s="8" t="s">
        <v>191</v>
      </c>
      <c r="D87" s="65" t="s">
        <v>9</v>
      </c>
      <c r="E87" s="66" t="s">
        <v>9</v>
      </c>
      <c r="F87" s="67" t="s">
        <v>28</v>
      </c>
      <c r="G87" s="9">
        <f t="shared" si="9"/>
        <v>0</v>
      </c>
      <c r="H87" s="10" t="s">
        <v>5</v>
      </c>
      <c r="I87" s="11" t="s">
        <v>298</v>
      </c>
      <c r="J87" s="16"/>
      <c r="K87" s="69">
        <f t="shared" si="10"/>
        <v>1</v>
      </c>
      <c r="L87">
        <f t="shared" si="11"/>
        <v>0</v>
      </c>
    </row>
    <row r="88" spans="1:12" ht="42.75" customHeight="1" x14ac:dyDescent="0.35">
      <c r="A88" s="15"/>
      <c r="B88" s="7" t="s">
        <v>192</v>
      </c>
      <c r="C88" s="8" t="s">
        <v>193</v>
      </c>
      <c r="D88" s="65" t="s">
        <v>9</v>
      </c>
      <c r="E88" s="66" t="s">
        <v>9</v>
      </c>
      <c r="F88" s="67" t="s">
        <v>28</v>
      </c>
      <c r="G88" s="9">
        <f t="shared" si="9"/>
        <v>0</v>
      </c>
      <c r="H88" s="10" t="s">
        <v>5</v>
      </c>
      <c r="I88" s="11" t="s">
        <v>6</v>
      </c>
      <c r="J88" s="16"/>
      <c r="K88" s="69">
        <f t="shared" si="10"/>
        <v>1</v>
      </c>
      <c r="L88">
        <f t="shared" si="11"/>
        <v>0</v>
      </c>
    </row>
    <row r="89" spans="1:12" ht="42.75" customHeight="1" x14ac:dyDescent="0.35">
      <c r="A89" s="15"/>
      <c r="B89" s="7" t="s">
        <v>194</v>
      </c>
      <c r="C89" s="8" t="s">
        <v>195</v>
      </c>
      <c r="D89" s="65" t="s">
        <v>9</v>
      </c>
      <c r="E89" s="66" t="s">
        <v>9</v>
      </c>
      <c r="F89" s="67" t="s">
        <v>28</v>
      </c>
      <c r="G89" s="9">
        <f t="shared" si="9"/>
        <v>0</v>
      </c>
      <c r="H89" s="10" t="s">
        <v>5</v>
      </c>
      <c r="I89" s="11" t="s">
        <v>6</v>
      </c>
      <c r="J89" s="16"/>
      <c r="K89" s="69">
        <f t="shared" si="10"/>
        <v>1</v>
      </c>
      <c r="L89">
        <f t="shared" si="11"/>
        <v>0</v>
      </c>
    </row>
    <row r="90" spans="1:12" ht="42.75" customHeight="1" x14ac:dyDescent="0.35">
      <c r="A90" s="15"/>
      <c r="B90" s="7" t="s">
        <v>196</v>
      </c>
      <c r="C90" s="8" t="s">
        <v>197</v>
      </c>
      <c r="D90" s="65" t="s">
        <v>9</v>
      </c>
      <c r="E90" s="66" t="s">
        <v>9</v>
      </c>
      <c r="F90" s="67" t="s">
        <v>28</v>
      </c>
      <c r="G90" s="9">
        <f t="shared" si="9"/>
        <v>0</v>
      </c>
      <c r="H90" s="10" t="s">
        <v>5</v>
      </c>
      <c r="I90" s="11" t="s">
        <v>6</v>
      </c>
      <c r="J90" s="16"/>
      <c r="K90" s="69">
        <f t="shared" si="10"/>
        <v>1</v>
      </c>
      <c r="L90">
        <f t="shared" si="11"/>
        <v>0</v>
      </c>
    </row>
    <row r="91" spans="1:12" ht="42.75" customHeight="1" x14ac:dyDescent="0.35">
      <c r="A91" s="15"/>
      <c r="B91" s="7" t="s">
        <v>198</v>
      </c>
      <c r="C91" s="8" t="s">
        <v>199</v>
      </c>
      <c r="D91" s="65" t="s">
        <v>9</v>
      </c>
      <c r="E91" s="66" t="s">
        <v>9</v>
      </c>
      <c r="F91" s="67" t="s">
        <v>28</v>
      </c>
      <c r="G91" s="9">
        <f t="shared" si="9"/>
        <v>0</v>
      </c>
      <c r="H91" s="10" t="s">
        <v>5</v>
      </c>
      <c r="I91" s="11" t="s">
        <v>6</v>
      </c>
      <c r="J91" s="16"/>
      <c r="K91" s="69">
        <f t="shared" si="10"/>
        <v>1</v>
      </c>
      <c r="L91">
        <f t="shared" si="11"/>
        <v>0</v>
      </c>
    </row>
    <row r="92" spans="1:12" ht="42.75" customHeight="1" x14ac:dyDescent="0.35">
      <c r="A92" s="15"/>
      <c r="B92" s="7" t="s">
        <v>200</v>
      </c>
      <c r="C92" s="8" t="s">
        <v>201</v>
      </c>
      <c r="D92" s="65" t="s">
        <v>25</v>
      </c>
      <c r="E92" s="66" t="s">
        <v>9</v>
      </c>
      <c r="F92" s="67" t="s">
        <v>28</v>
      </c>
      <c r="G92" s="9">
        <f t="shared" si="9"/>
        <v>0.4</v>
      </c>
      <c r="H92" s="10" t="s">
        <v>5</v>
      </c>
      <c r="I92" s="11" t="s">
        <v>6</v>
      </c>
      <c r="J92" s="16"/>
      <c r="K92" s="69">
        <f t="shared" si="10"/>
        <v>1</v>
      </c>
      <c r="L92">
        <f t="shared" si="11"/>
        <v>0</v>
      </c>
    </row>
    <row r="93" spans="1:12" ht="42.75" customHeight="1" x14ac:dyDescent="0.35">
      <c r="A93" s="15"/>
      <c r="B93" s="7" t="s">
        <v>202</v>
      </c>
      <c r="C93" s="8" t="s">
        <v>203</v>
      </c>
      <c r="D93" s="65" t="s">
        <v>25</v>
      </c>
      <c r="E93" s="66" t="s">
        <v>9</v>
      </c>
      <c r="F93" s="67" t="s">
        <v>28</v>
      </c>
      <c r="G93" s="9">
        <f t="shared" si="9"/>
        <v>0.4</v>
      </c>
      <c r="H93" s="10" t="s">
        <v>5</v>
      </c>
      <c r="I93" s="11" t="s">
        <v>6</v>
      </c>
      <c r="J93" s="16"/>
      <c r="K93" s="69">
        <f t="shared" si="10"/>
        <v>1</v>
      </c>
      <c r="L93">
        <f t="shared" si="11"/>
        <v>0</v>
      </c>
    </row>
    <row r="94" spans="1:12" ht="42.75" customHeight="1" x14ac:dyDescent="0.35">
      <c r="A94" s="15"/>
      <c r="B94" s="7" t="s">
        <v>204</v>
      </c>
      <c r="C94" s="8" t="s">
        <v>205</v>
      </c>
      <c r="D94" s="65" t="s">
        <v>25</v>
      </c>
      <c r="E94" s="66" t="s">
        <v>9</v>
      </c>
      <c r="F94" s="67" t="s">
        <v>28</v>
      </c>
      <c r="G94" s="9">
        <f t="shared" si="9"/>
        <v>0.4</v>
      </c>
      <c r="H94" s="10" t="s">
        <v>5</v>
      </c>
      <c r="I94" s="11" t="s">
        <v>6</v>
      </c>
      <c r="J94" s="16"/>
      <c r="K94" s="69">
        <f t="shared" si="10"/>
        <v>1</v>
      </c>
      <c r="L94">
        <f t="shared" si="11"/>
        <v>0</v>
      </c>
    </row>
    <row r="95" spans="1:12" ht="42.75" customHeight="1" x14ac:dyDescent="0.35">
      <c r="A95" s="15"/>
      <c r="B95" s="7" t="s">
        <v>206</v>
      </c>
      <c r="C95" s="8" t="s">
        <v>207</v>
      </c>
      <c r="D95" s="65" t="s">
        <v>25</v>
      </c>
      <c r="E95" s="66" t="s">
        <v>9</v>
      </c>
      <c r="F95" s="67" t="s">
        <v>28</v>
      </c>
      <c r="G95" s="9">
        <f t="shared" si="9"/>
        <v>0.4</v>
      </c>
      <c r="H95" s="10" t="s">
        <v>5</v>
      </c>
      <c r="I95" s="11" t="s">
        <v>6</v>
      </c>
      <c r="J95" s="16"/>
      <c r="K95" s="69">
        <f t="shared" si="10"/>
        <v>1</v>
      </c>
      <c r="L95">
        <f t="shared" si="11"/>
        <v>0</v>
      </c>
    </row>
    <row r="96" spans="1:12" ht="42.75" customHeight="1" x14ac:dyDescent="0.35">
      <c r="A96" s="15"/>
      <c r="B96" s="7" t="s">
        <v>208</v>
      </c>
      <c r="C96" s="8" t="s">
        <v>209</v>
      </c>
      <c r="D96" s="65" t="s">
        <v>9</v>
      </c>
      <c r="E96" s="66" t="s">
        <v>9</v>
      </c>
      <c r="F96" s="67" t="s">
        <v>28</v>
      </c>
      <c r="G96" s="9">
        <f t="shared" si="9"/>
        <v>0</v>
      </c>
      <c r="H96" s="10" t="s">
        <v>5</v>
      </c>
      <c r="I96" s="11" t="s">
        <v>6</v>
      </c>
      <c r="J96" s="16"/>
      <c r="K96" s="69">
        <f t="shared" si="10"/>
        <v>1</v>
      </c>
      <c r="L96">
        <f t="shared" si="11"/>
        <v>0</v>
      </c>
    </row>
    <row r="97" spans="1:12" ht="42.75" customHeight="1" x14ac:dyDescent="0.35">
      <c r="A97" s="15"/>
      <c r="B97" s="7" t="s">
        <v>210</v>
      </c>
      <c r="C97" s="8" t="s">
        <v>211</v>
      </c>
      <c r="D97" s="65" t="s">
        <v>25</v>
      </c>
      <c r="E97" s="66" t="s">
        <v>9</v>
      </c>
      <c r="F97" s="67" t="s">
        <v>28</v>
      </c>
      <c r="G97" s="9">
        <f t="shared" si="9"/>
        <v>0.4</v>
      </c>
      <c r="H97" s="10" t="s">
        <v>5</v>
      </c>
      <c r="I97" s="11" t="s">
        <v>6</v>
      </c>
      <c r="J97" s="16"/>
      <c r="K97" s="69">
        <f t="shared" si="10"/>
        <v>1</v>
      </c>
      <c r="L97">
        <f t="shared" si="11"/>
        <v>0</v>
      </c>
    </row>
    <row r="98" spans="1:12" ht="42.75" customHeight="1" x14ac:dyDescent="0.35">
      <c r="A98" s="15"/>
      <c r="B98" s="7" t="s">
        <v>212</v>
      </c>
      <c r="C98" s="8" t="s">
        <v>213</v>
      </c>
      <c r="D98" s="36" t="s">
        <v>9</v>
      </c>
      <c r="E98" s="66" t="s">
        <v>9</v>
      </c>
      <c r="F98" s="67" t="s">
        <v>28</v>
      </c>
      <c r="G98" s="9">
        <f t="shared" si="9"/>
        <v>0</v>
      </c>
      <c r="H98" s="10" t="s">
        <v>5</v>
      </c>
      <c r="I98" s="11" t="s">
        <v>299</v>
      </c>
      <c r="J98" s="16"/>
      <c r="K98" s="69">
        <f t="shared" si="10"/>
        <v>1</v>
      </c>
      <c r="L98">
        <f t="shared" si="11"/>
        <v>0</v>
      </c>
    </row>
    <row r="99" spans="1:12" x14ac:dyDescent="0.35">
      <c r="A99" s="15"/>
      <c r="B99" s="27"/>
      <c r="C99" s="28"/>
      <c r="D99" s="29"/>
      <c r="E99" s="29"/>
      <c r="F99" s="29"/>
      <c r="G99" s="30"/>
      <c r="H99" s="31"/>
      <c r="I99" s="32"/>
      <c r="J99" s="16"/>
      <c r="K99" s="69">
        <f t="shared" si="10"/>
        <v>0</v>
      </c>
      <c r="L99" t="str">
        <f t="shared" si="11"/>
        <v/>
      </c>
    </row>
    <row r="100" spans="1:12" ht="25.5" customHeight="1" x14ac:dyDescent="0.35">
      <c r="A100" s="15"/>
      <c r="B100" s="78" t="s">
        <v>214</v>
      </c>
      <c r="C100" s="78"/>
      <c r="D100" s="78"/>
      <c r="E100" s="78"/>
      <c r="F100" s="78"/>
      <c r="G100" s="78"/>
      <c r="H100" s="78"/>
      <c r="I100" s="78"/>
      <c r="J100" s="16"/>
      <c r="K100" s="69">
        <f t="shared" si="10"/>
        <v>0</v>
      </c>
      <c r="L100" t="str">
        <f t="shared" si="11"/>
        <v/>
      </c>
    </row>
    <row r="101" spans="1:12" ht="42.75" customHeight="1" x14ac:dyDescent="0.35">
      <c r="A101" s="15"/>
      <c r="B101" s="21" t="s">
        <v>0</v>
      </c>
      <c r="C101" s="21" t="s">
        <v>23</v>
      </c>
      <c r="D101" s="21" t="s">
        <v>1</v>
      </c>
      <c r="E101" s="21" t="s">
        <v>2</v>
      </c>
      <c r="F101" s="21" t="s">
        <v>3</v>
      </c>
      <c r="G101" s="21" t="s">
        <v>4</v>
      </c>
      <c r="H101" s="79" t="s">
        <v>11</v>
      </c>
      <c r="I101" s="79"/>
      <c r="J101" s="16"/>
      <c r="K101" s="69">
        <f t="shared" si="10"/>
        <v>0</v>
      </c>
      <c r="L101">
        <f t="shared" si="11"/>
        <v>0</v>
      </c>
    </row>
    <row r="102" spans="1:12" ht="42.75" customHeight="1" x14ac:dyDescent="0.35">
      <c r="A102" s="15"/>
      <c r="B102" s="7" t="s">
        <v>215</v>
      </c>
      <c r="C102" s="8" t="s">
        <v>216</v>
      </c>
      <c r="D102" s="33" t="s">
        <v>9</v>
      </c>
      <c r="E102" s="66" t="s">
        <v>9</v>
      </c>
      <c r="F102" s="67" t="s">
        <v>28</v>
      </c>
      <c r="G102" s="9">
        <f t="shared" si="9"/>
        <v>0</v>
      </c>
      <c r="H102" s="10" t="s">
        <v>5</v>
      </c>
      <c r="I102" s="11" t="s">
        <v>6</v>
      </c>
      <c r="J102" s="16"/>
      <c r="K102" s="69">
        <f t="shared" si="10"/>
        <v>1</v>
      </c>
      <c r="L102">
        <f t="shared" si="11"/>
        <v>0</v>
      </c>
    </row>
    <row r="103" spans="1:12" ht="42.75" customHeight="1" x14ac:dyDescent="0.35">
      <c r="A103" s="15"/>
      <c r="B103" s="7" t="s">
        <v>217</v>
      </c>
      <c r="C103" s="8" t="s">
        <v>218</v>
      </c>
      <c r="D103" s="65" t="s">
        <v>9</v>
      </c>
      <c r="E103" s="66" t="s">
        <v>9</v>
      </c>
      <c r="F103" s="67" t="s">
        <v>28</v>
      </c>
      <c r="G103" s="9">
        <f t="shared" si="9"/>
        <v>0</v>
      </c>
      <c r="H103" s="10" t="s">
        <v>5</v>
      </c>
      <c r="I103" s="11" t="s">
        <v>6</v>
      </c>
      <c r="J103" s="16"/>
      <c r="K103" s="69">
        <f t="shared" si="10"/>
        <v>1</v>
      </c>
      <c r="L103">
        <f t="shared" si="11"/>
        <v>0</v>
      </c>
    </row>
    <row r="104" spans="1:12" ht="42.75" customHeight="1" x14ac:dyDescent="0.35">
      <c r="A104" s="15"/>
      <c r="B104" s="7" t="s">
        <v>219</v>
      </c>
      <c r="C104" s="8" t="s">
        <v>220</v>
      </c>
      <c r="D104" s="65" t="s">
        <v>9</v>
      </c>
      <c r="E104" s="66" t="s">
        <v>9</v>
      </c>
      <c r="F104" s="67" t="s">
        <v>28</v>
      </c>
      <c r="G104" s="9">
        <f t="shared" si="9"/>
        <v>0</v>
      </c>
      <c r="H104" s="10" t="s">
        <v>5</v>
      </c>
      <c r="I104" s="11" t="s">
        <v>6</v>
      </c>
      <c r="J104" s="16"/>
      <c r="K104" s="69">
        <f t="shared" si="10"/>
        <v>1</v>
      </c>
      <c r="L104">
        <f t="shared" si="11"/>
        <v>0</v>
      </c>
    </row>
    <row r="105" spans="1:12" ht="42.75" customHeight="1" x14ac:dyDescent="0.35">
      <c r="A105" s="15"/>
      <c r="B105" s="7" t="s">
        <v>221</v>
      </c>
      <c r="C105" s="8" t="s">
        <v>222</v>
      </c>
      <c r="D105" s="65" t="s">
        <v>9</v>
      </c>
      <c r="E105" s="66" t="s">
        <v>9</v>
      </c>
      <c r="F105" s="67" t="s">
        <v>28</v>
      </c>
      <c r="G105" s="9">
        <f t="shared" si="9"/>
        <v>0</v>
      </c>
      <c r="H105" s="10" t="s">
        <v>5</v>
      </c>
      <c r="I105" s="11" t="s">
        <v>300</v>
      </c>
      <c r="J105" s="16"/>
      <c r="K105" s="69">
        <f t="shared" si="10"/>
        <v>1</v>
      </c>
      <c r="L105">
        <f t="shared" si="11"/>
        <v>0</v>
      </c>
    </row>
    <row r="106" spans="1:12" ht="42.75" customHeight="1" x14ac:dyDescent="0.35">
      <c r="A106" s="15"/>
      <c r="B106" s="7" t="s">
        <v>223</v>
      </c>
      <c r="C106" s="8" t="s">
        <v>224</v>
      </c>
      <c r="D106" s="65" t="s">
        <v>9</v>
      </c>
      <c r="E106" s="66" t="s">
        <v>9</v>
      </c>
      <c r="F106" s="67" t="s">
        <v>28</v>
      </c>
      <c r="G106" s="9">
        <f t="shared" si="9"/>
        <v>0</v>
      </c>
      <c r="H106" s="10" t="s">
        <v>5</v>
      </c>
      <c r="I106" s="11" t="s">
        <v>301</v>
      </c>
      <c r="J106" s="16"/>
      <c r="K106" s="69">
        <f t="shared" si="10"/>
        <v>1</v>
      </c>
      <c r="L106">
        <f t="shared" si="11"/>
        <v>0</v>
      </c>
    </row>
    <row r="107" spans="1:12" ht="42.75" customHeight="1" x14ac:dyDescent="0.35">
      <c r="A107" s="15"/>
      <c r="B107" s="7" t="s">
        <v>225</v>
      </c>
      <c r="C107" s="8" t="s">
        <v>226</v>
      </c>
      <c r="D107" s="65" t="s">
        <v>9</v>
      </c>
      <c r="E107" s="66" t="s">
        <v>9</v>
      </c>
      <c r="F107" s="67" t="s">
        <v>28</v>
      </c>
      <c r="G107" s="9">
        <f t="shared" si="9"/>
        <v>0</v>
      </c>
      <c r="H107" s="10" t="s">
        <v>5</v>
      </c>
      <c r="I107" s="11" t="s">
        <v>302</v>
      </c>
      <c r="J107" s="16"/>
      <c r="K107" s="69">
        <f t="shared" si="10"/>
        <v>1</v>
      </c>
      <c r="L107">
        <f t="shared" si="11"/>
        <v>0</v>
      </c>
    </row>
    <row r="108" spans="1:12" ht="42.75" customHeight="1" x14ac:dyDescent="0.35">
      <c r="A108" s="15"/>
      <c r="B108" s="7" t="s">
        <v>227</v>
      </c>
      <c r="C108" s="8" t="s">
        <v>228</v>
      </c>
      <c r="D108" s="65" t="s">
        <v>9</v>
      </c>
      <c r="E108" s="66" t="s">
        <v>9</v>
      </c>
      <c r="F108" s="67" t="s">
        <v>28</v>
      </c>
      <c r="G108" s="9">
        <f t="shared" si="9"/>
        <v>0</v>
      </c>
      <c r="H108" s="10" t="s">
        <v>5</v>
      </c>
      <c r="I108" s="11" t="s">
        <v>6</v>
      </c>
      <c r="J108" s="16"/>
      <c r="K108" s="69">
        <f t="shared" si="10"/>
        <v>1</v>
      </c>
      <c r="L108">
        <f t="shared" si="11"/>
        <v>0</v>
      </c>
    </row>
    <row r="109" spans="1:12" ht="42.75" customHeight="1" x14ac:dyDescent="0.35">
      <c r="A109" s="15"/>
      <c r="B109" s="7" t="s">
        <v>229</v>
      </c>
      <c r="C109" s="8" t="s">
        <v>230</v>
      </c>
      <c r="D109" s="36" t="s">
        <v>25</v>
      </c>
      <c r="E109" s="66" t="s">
        <v>9</v>
      </c>
      <c r="F109" s="67" t="s">
        <v>28</v>
      </c>
      <c r="G109" s="9">
        <f t="shared" si="9"/>
        <v>0.4</v>
      </c>
      <c r="H109" s="10" t="s">
        <v>5</v>
      </c>
      <c r="I109" s="11" t="s">
        <v>6</v>
      </c>
      <c r="J109" s="16"/>
      <c r="K109" s="69">
        <f t="shared" si="10"/>
        <v>1</v>
      </c>
      <c r="L109">
        <f t="shared" si="11"/>
        <v>0</v>
      </c>
    </row>
    <row r="110" spans="1:12" x14ac:dyDescent="0.35">
      <c r="A110" s="15"/>
      <c r="B110" s="27"/>
      <c r="C110" s="28"/>
      <c r="D110" s="29"/>
      <c r="E110" s="29"/>
      <c r="F110" s="29"/>
      <c r="G110" s="30"/>
      <c r="H110" s="31"/>
      <c r="I110" s="32"/>
      <c r="J110" s="16"/>
      <c r="K110" s="69">
        <f t="shared" si="10"/>
        <v>0</v>
      </c>
      <c r="L110" t="str">
        <f t="shared" si="11"/>
        <v/>
      </c>
    </row>
    <row r="111" spans="1:12" ht="21.75" customHeight="1" x14ac:dyDescent="0.35">
      <c r="A111" s="15"/>
      <c r="B111" s="78" t="s">
        <v>231</v>
      </c>
      <c r="C111" s="78"/>
      <c r="D111" s="78"/>
      <c r="E111" s="78"/>
      <c r="F111" s="78"/>
      <c r="G111" s="78"/>
      <c r="H111" s="78"/>
      <c r="I111" s="78"/>
      <c r="J111" s="16"/>
      <c r="K111" s="69">
        <f t="shared" si="10"/>
        <v>0</v>
      </c>
      <c r="L111" t="str">
        <f t="shared" si="11"/>
        <v/>
      </c>
    </row>
    <row r="112" spans="1:12" ht="42.75" customHeight="1" x14ac:dyDescent="0.35">
      <c r="A112" s="15"/>
      <c r="B112" s="21" t="s">
        <v>0</v>
      </c>
      <c r="C112" s="21" t="s">
        <v>23</v>
      </c>
      <c r="D112" s="21" t="s">
        <v>1</v>
      </c>
      <c r="E112" s="21" t="s">
        <v>2</v>
      </c>
      <c r="F112" s="21" t="s">
        <v>3</v>
      </c>
      <c r="G112" s="21" t="s">
        <v>4</v>
      </c>
      <c r="H112" s="79" t="s">
        <v>11</v>
      </c>
      <c r="I112" s="79"/>
      <c r="J112" s="16"/>
      <c r="K112" s="69">
        <f t="shared" si="10"/>
        <v>0</v>
      </c>
      <c r="L112">
        <f t="shared" si="11"/>
        <v>0</v>
      </c>
    </row>
    <row r="113" spans="1:12" ht="42.75" customHeight="1" x14ac:dyDescent="0.35">
      <c r="A113" s="15"/>
      <c r="B113" s="7" t="s">
        <v>232</v>
      </c>
      <c r="C113" s="8" t="s">
        <v>233</v>
      </c>
      <c r="D113" s="33" t="s">
        <v>25</v>
      </c>
      <c r="E113" s="66" t="s">
        <v>9</v>
      </c>
      <c r="F113" s="67" t="s">
        <v>28</v>
      </c>
      <c r="G113" s="9">
        <f t="shared" si="9"/>
        <v>0.4</v>
      </c>
      <c r="H113" s="10" t="s">
        <v>5</v>
      </c>
      <c r="I113" s="11" t="s">
        <v>6</v>
      </c>
      <c r="J113" s="16"/>
      <c r="K113" s="69">
        <f t="shared" si="10"/>
        <v>1</v>
      </c>
      <c r="L113">
        <f t="shared" si="11"/>
        <v>0</v>
      </c>
    </row>
    <row r="114" spans="1:12" ht="42.75" customHeight="1" x14ac:dyDescent="0.35">
      <c r="A114" s="15"/>
      <c r="B114" s="7" t="s">
        <v>234</v>
      </c>
      <c r="C114" s="8" t="s">
        <v>235</v>
      </c>
      <c r="D114" s="65" t="s">
        <v>25</v>
      </c>
      <c r="E114" s="66" t="s">
        <v>9</v>
      </c>
      <c r="F114" s="67" t="s">
        <v>28</v>
      </c>
      <c r="G114" s="9">
        <f t="shared" si="9"/>
        <v>0.4</v>
      </c>
      <c r="H114" s="10" t="s">
        <v>5</v>
      </c>
      <c r="I114" s="11" t="s">
        <v>6</v>
      </c>
      <c r="J114" s="16"/>
      <c r="K114" s="69">
        <f t="shared" si="10"/>
        <v>1</v>
      </c>
      <c r="L114">
        <f t="shared" si="11"/>
        <v>0</v>
      </c>
    </row>
    <row r="115" spans="1:12" ht="42.75" customHeight="1" x14ac:dyDescent="0.35">
      <c r="A115" s="15"/>
      <c r="B115" s="7" t="s">
        <v>236</v>
      </c>
      <c r="C115" s="8" t="s">
        <v>237</v>
      </c>
      <c r="D115" s="65" t="s">
        <v>25</v>
      </c>
      <c r="E115" s="66" t="s">
        <v>9</v>
      </c>
      <c r="F115" s="67" t="s">
        <v>28</v>
      </c>
      <c r="G115" s="9">
        <f t="shared" si="9"/>
        <v>0.4</v>
      </c>
      <c r="H115" s="10" t="s">
        <v>5</v>
      </c>
      <c r="I115" s="11" t="s">
        <v>6</v>
      </c>
      <c r="J115" s="16"/>
      <c r="K115" s="69">
        <f t="shared" si="10"/>
        <v>1</v>
      </c>
      <c r="L115">
        <f t="shared" si="11"/>
        <v>0</v>
      </c>
    </row>
    <row r="116" spans="1:12" ht="42.75" customHeight="1" x14ac:dyDescent="0.35">
      <c r="A116" s="15"/>
      <c r="B116" s="7" t="s">
        <v>238</v>
      </c>
      <c r="C116" s="8" t="s">
        <v>239</v>
      </c>
      <c r="D116" s="65" t="s">
        <v>25</v>
      </c>
      <c r="E116" s="66" t="s">
        <v>9</v>
      </c>
      <c r="F116" s="67" t="s">
        <v>28</v>
      </c>
      <c r="G116" s="9">
        <f t="shared" si="9"/>
        <v>0.4</v>
      </c>
      <c r="H116" s="10" t="s">
        <v>5</v>
      </c>
      <c r="I116" s="11" t="s">
        <v>6</v>
      </c>
      <c r="J116" s="16"/>
      <c r="K116" s="69">
        <f t="shared" si="10"/>
        <v>1</v>
      </c>
      <c r="L116">
        <f t="shared" si="11"/>
        <v>0</v>
      </c>
    </row>
    <row r="117" spans="1:12" ht="42.75" customHeight="1" x14ac:dyDescent="0.35">
      <c r="A117" s="15"/>
      <c r="B117" s="7" t="s">
        <v>240</v>
      </c>
      <c r="C117" s="8" t="s">
        <v>247</v>
      </c>
      <c r="D117" s="65" t="s">
        <v>25</v>
      </c>
      <c r="E117" s="66" t="s">
        <v>9</v>
      </c>
      <c r="F117" s="67" t="s">
        <v>28</v>
      </c>
      <c r="G117" s="9">
        <f t="shared" si="9"/>
        <v>0.4</v>
      </c>
      <c r="H117" s="10" t="s">
        <v>5</v>
      </c>
      <c r="I117" s="11" t="s">
        <v>6</v>
      </c>
      <c r="J117" s="16"/>
      <c r="K117" s="69">
        <f t="shared" si="10"/>
        <v>1</v>
      </c>
      <c r="L117">
        <f t="shared" si="11"/>
        <v>0</v>
      </c>
    </row>
    <row r="118" spans="1:12" ht="42.75" customHeight="1" x14ac:dyDescent="0.35">
      <c r="A118" s="15"/>
      <c r="B118" s="7" t="s">
        <v>241</v>
      </c>
      <c r="C118" s="8" t="s">
        <v>242</v>
      </c>
      <c r="D118" s="65" t="s">
        <v>9</v>
      </c>
      <c r="E118" s="66" t="s">
        <v>9</v>
      </c>
      <c r="F118" s="67" t="s">
        <v>28</v>
      </c>
      <c r="G118" s="9">
        <f t="shared" ref="G118:G120" si="12">IF(D118="","",IF(D118="No",0,0.4+IF(E118="Si",0.3,0)+IF(F118="Actualizado",0.3,IF(F118="Desactualizado",0.15,0))))</f>
        <v>0</v>
      </c>
      <c r="H118" s="10" t="s">
        <v>5</v>
      </c>
      <c r="I118" s="11" t="s">
        <v>6</v>
      </c>
      <c r="J118" s="16"/>
      <c r="K118" s="69">
        <f t="shared" si="10"/>
        <v>1</v>
      </c>
      <c r="L118">
        <f t="shared" si="11"/>
        <v>0</v>
      </c>
    </row>
    <row r="119" spans="1:12" ht="42.75" customHeight="1" x14ac:dyDescent="0.35">
      <c r="A119" s="15"/>
      <c r="B119" s="7" t="s">
        <v>243</v>
      </c>
      <c r="C119" s="8" t="s">
        <v>244</v>
      </c>
      <c r="D119" s="65" t="s">
        <v>9</v>
      </c>
      <c r="E119" s="66" t="s">
        <v>9</v>
      </c>
      <c r="F119" s="67" t="s">
        <v>28</v>
      </c>
      <c r="G119" s="9">
        <f t="shared" si="12"/>
        <v>0</v>
      </c>
      <c r="H119" s="10" t="s">
        <v>5</v>
      </c>
      <c r="I119" s="11" t="s">
        <v>6</v>
      </c>
      <c r="J119" s="16"/>
      <c r="K119" s="69">
        <f t="shared" si="10"/>
        <v>1</v>
      </c>
      <c r="L119">
        <f t="shared" si="11"/>
        <v>0</v>
      </c>
    </row>
    <row r="120" spans="1:12" ht="42.75" customHeight="1" x14ac:dyDescent="0.35">
      <c r="A120" s="15"/>
      <c r="B120" s="7" t="s">
        <v>245</v>
      </c>
      <c r="C120" s="8" t="s">
        <v>246</v>
      </c>
      <c r="D120" s="36" t="s">
        <v>25</v>
      </c>
      <c r="E120" s="66" t="s">
        <v>9</v>
      </c>
      <c r="F120" s="67" t="s">
        <v>28</v>
      </c>
      <c r="G120" s="9">
        <f t="shared" si="12"/>
        <v>0.4</v>
      </c>
      <c r="H120" s="10" t="s">
        <v>5</v>
      </c>
      <c r="I120" s="11" t="s">
        <v>303</v>
      </c>
      <c r="J120" s="16"/>
      <c r="K120" s="69">
        <f t="shared" si="10"/>
        <v>1</v>
      </c>
      <c r="L120">
        <f t="shared" si="11"/>
        <v>0</v>
      </c>
    </row>
    <row r="121" spans="1:12" ht="15" thickBot="1" x14ac:dyDescent="0.4">
      <c r="A121" s="17"/>
      <c r="B121" s="19"/>
      <c r="C121" s="19"/>
      <c r="D121" s="19"/>
      <c r="E121" s="19"/>
      <c r="F121" s="19"/>
      <c r="G121" s="19"/>
      <c r="H121" s="19"/>
      <c r="I121" s="19"/>
      <c r="J121" s="18"/>
      <c r="L121" t="str">
        <f t="shared" ref="L121" si="13">IF(F121="","",IF(AND(E121="No",F121&lt;&gt;"Inexistente"),1,0))</f>
        <v/>
      </c>
    </row>
    <row r="122" spans="1:12" x14ac:dyDescent="0.35">
      <c r="A122" s="39"/>
      <c r="B122" s="40"/>
      <c r="C122" s="41"/>
      <c r="D122" s="40"/>
      <c r="E122" s="40"/>
      <c r="F122" s="40"/>
      <c r="G122" s="40"/>
      <c r="H122" s="40"/>
      <c r="I122" s="40"/>
      <c r="J122" s="42"/>
    </row>
    <row r="123" spans="1:12" x14ac:dyDescent="0.35">
      <c r="A123" s="43"/>
      <c r="B123" s="44"/>
      <c r="C123" s="45"/>
      <c r="D123" s="44"/>
      <c r="E123" s="44"/>
      <c r="F123" s="44"/>
      <c r="G123" s="44"/>
      <c r="H123" s="44"/>
      <c r="I123" s="44"/>
      <c r="J123" s="46"/>
    </row>
    <row r="124" spans="1:12" ht="19" thickBot="1" x14ac:dyDescent="0.4">
      <c r="A124" s="43"/>
      <c r="B124" s="84" t="s">
        <v>51</v>
      </c>
      <c r="C124" s="81"/>
      <c r="D124" s="81"/>
      <c r="E124" s="81"/>
      <c r="F124" s="81"/>
      <c r="G124" s="47">
        <f>IFERROR(AVERAGE(G43:G120),"")</f>
        <v>0.24666666666666678</v>
      </c>
      <c r="H124" s="44"/>
      <c r="I124" s="44"/>
      <c r="J124" s="46"/>
    </row>
    <row r="125" spans="1:12" ht="15" thickTop="1" x14ac:dyDescent="0.35">
      <c r="A125" s="43"/>
      <c r="B125" s="80" t="s">
        <v>52</v>
      </c>
      <c r="C125" s="81"/>
      <c r="D125" s="82" t="str">
        <f>COUNTIF(D43:D120,"si")&amp;"  Conformes / "&amp;COUNTIF(D43:D120,"no")&amp;"  No Conformes"</f>
        <v>37  Conformes / 23  No Conformes</v>
      </c>
      <c r="E125" s="83"/>
      <c r="F125" s="83"/>
      <c r="G125" s="44"/>
      <c r="H125" s="44"/>
      <c r="I125" s="44"/>
      <c r="J125" s="46"/>
    </row>
    <row r="126" spans="1:12" x14ac:dyDescent="0.35">
      <c r="A126" s="48"/>
      <c r="B126" s="80" t="s">
        <v>252</v>
      </c>
      <c r="C126" s="81"/>
      <c r="D126" s="82" t="str">
        <f>COUNTIF(E43:E120,"si")&amp;"  Elaborados / "&amp;COUNTIF(E43:E120,"no")&amp;"  No Elaborados"</f>
        <v>0  Elaborados / 60  No Elaborados</v>
      </c>
      <c r="E126" s="83"/>
      <c r="F126" s="83"/>
      <c r="G126" s="44"/>
      <c r="H126" s="44"/>
      <c r="I126" s="44"/>
      <c r="J126" s="46"/>
    </row>
    <row r="127" spans="1:12" ht="42" customHeight="1" x14ac:dyDescent="0.35">
      <c r="A127" s="49"/>
      <c r="B127" s="50"/>
      <c r="C127" s="51"/>
      <c r="D127" s="52"/>
      <c r="E127" s="52"/>
      <c r="F127" s="52"/>
      <c r="G127" s="52"/>
      <c r="H127" s="52"/>
      <c r="I127" s="52"/>
      <c r="J127" s="53"/>
    </row>
    <row r="128" spans="1:12" ht="44.25" customHeight="1" x14ac:dyDescent="0.35">
      <c r="A128" s="49"/>
      <c r="B128" s="50" t="b">
        <v>0</v>
      </c>
      <c r="C128" s="51"/>
      <c r="D128" s="54" t="s">
        <v>61</v>
      </c>
      <c r="E128" s="55" t="s">
        <v>42</v>
      </c>
      <c r="F128" s="54" t="s">
        <v>55</v>
      </c>
      <c r="G128" s="55"/>
      <c r="H128" s="56" t="s">
        <v>54</v>
      </c>
      <c r="I128" s="57">
        <v>46295</v>
      </c>
      <c r="J128" s="53"/>
    </row>
    <row r="129" spans="1:10" ht="44.25" customHeight="1" x14ac:dyDescent="0.35">
      <c r="A129" s="49"/>
      <c r="B129" s="50" t="b">
        <v>0</v>
      </c>
      <c r="C129" s="51"/>
      <c r="D129" s="54" t="s">
        <v>53</v>
      </c>
      <c r="E129" s="55" t="s">
        <v>38</v>
      </c>
      <c r="F129" s="54" t="s">
        <v>56</v>
      </c>
      <c r="G129" s="55"/>
      <c r="H129" s="56" t="s">
        <v>253</v>
      </c>
      <c r="I129" s="57" t="str">
        <f ca="1">IF(B129=FALSE,"",TODAY())</f>
        <v/>
      </c>
      <c r="J129" s="53"/>
    </row>
    <row r="130" spans="1:10" ht="44.25" customHeight="1" x14ac:dyDescent="0.35">
      <c r="A130" s="48"/>
      <c r="B130" s="58" t="b">
        <v>0</v>
      </c>
      <c r="C130" s="59"/>
      <c r="D130" s="54" t="s">
        <v>254</v>
      </c>
      <c r="E130" s="55" t="s">
        <v>58</v>
      </c>
      <c r="F130" s="54" t="s">
        <v>255</v>
      </c>
      <c r="G130" s="55"/>
      <c r="H130" s="56" t="s">
        <v>256</v>
      </c>
      <c r="I130" s="57">
        <v>46295</v>
      </c>
      <c r="J130" s="46"/>
    </row>
    <row r="131" spans="1:10" ht="15" thickBot="1" x14ac:dyDescent="0.4">
      <c r="A131" s="60"/>
      <c r="B131" s="61"/>
      <c r="C131" s="62"/>
      <c r="D131" s="63"/>
      <c r="E131" s="63"/>
      <c r="F131" s="63"/>
      <c r="G131" s="63"/>
      <c r="H131" s="63"/>
      <c r="I131" s="63"/>
      <c r="J131" s="64"/>
    </row>
  </sheetData>
  <mergeCells count="29">
    <mergeCell ref="B55:I55"/>
    <mergeCell ref="H56:I56"/>
    <mergeCell ref="D3:E3"/>
    <mergeCell ref="D1:E1"/>
    <mergeCell ref="D2:E2"/>
    <mergeCell ref="F3:I3"/>
    <mergeCell ref="F2:I2"/>
    <mergeCell ref="G1:I1"/>
    <mergeCell ref="B20:I20"/>
    <mergeCell ref="H21:I21"/>
    <mergeCell ref="B35:I35"/>
    <mergeCell ref="H7:I7"/>
    <mergeCell ref="B6:I6"/>
    <mergeCell ref="H36:I36"/>
    <mergeCell ref="B45:I45"/>
    <mergeCell ref="H46:I46"/>
    <mergeCell ref="B65:I65"/>
    <mergeCell ref="H66:I66"/>
    <mergeCell ref="B80:I80"/>
    <mergeCell ref="B126:C126"/>
    <mergeCell ref="D126:F126"/>
    <mergeCell ref="H81:I81"/>
    <mergeCell ref="B100:I100"/>
    <mergeCell ref="H101:I101"/>
    <mergeCell ref="B111:I111"/>
    <mergeCell ref="H112:I112"/>
    <mergeCell ref="B124:F124"/>
    <mergeCell ref="B125:C125"/>
    <mergeCell ref="D125:F125"/>
  </mergeCells>
  <conditionalFormatting sqref="F19">
    <cfRule type="expression" dxfId="36" priority="38">
      <formula>$L19=1</formula>
    </cfRule>
  </conditionalFormatting>
  <conditionalFormatting sqref="F34">
    <cfRule type="expression" dxfId="35" priority="37">
      <formula>$L34=1</formula>
    </cfRule>
  </conditionalFormatting>
  <conditionalFormatting sqref="F44">
    <cfRule type="expression" dxfId="34" priority="36">
      <formula>$L44=1</formula>
    </cfRule>
  </conditionalFormatting>
  <conditionalFormatting sqref="F54">
    <cfRule type="expression" dxfId="33" priority="35">
      <formula>$L54=1</formula>
    </cfRule>
  </conditionalFormatting>
  <conditionalFormatting sqref="F64">
    <cfRule type="expression" dxfId="32" priority="34">
      <formula>$L64=1</formula>
    </cfRule>
  </conditionalFormatting>
  <conditionalFormatting sqref="F79">
    <cfRule type="expression" dxfId="31" priority="33">
      <formula>$L79=1</formula>
    </cfRule>
  </conditionalFormatting>
  <conditionalFormatting sqref="F99">
    <cfRule type="expression" dxfId="30" priority="32">
      <formula>$L99=1</formula>
    </cfRule>
  </conditionalFormatting>
  <conditionalFormatting sqref="F110">
    <cfRule type="expression" dxfId="29" priority="31">
      <formula>$L110=1</formula>
    </cfRule>
  </conditionalFormatting>
  <conditionalFormatting sqref="F13:F15 F18">
    <cfRule type="expression" dxfId="27" priority="28">
      <formula>$L13=1</formula>
    </cfRule>
  </conditionalFormatting>
  <conditionalFormatting sqref="F33">
    <cfRule type="expression" dxfId="26" priority="27">
      <formula>$L33=1</formula>
    </cfRule>
  </conditionalFormatting>
  <conditionalFormatting sqref="F37:F38">
    <cfRule type="expression" dxfId="25" priority="26">
      <formula>$L37=1</formula>
    </cfRule>
  </conditionalFormatting>
  <conditionalFormatting sqref="F52:F53">
    <cfRule type="expression" dxfId="24" priority="25">
      <formula>$L52=1</formula>
    </cfRule>
  </conditionalFormatting>
  <conditionalFormatting sqref="F71">
    <cfRule type="expression" dxfId="22" priority="23">
      <formula>$L71=1</formula>
    </cfRule>
  </conditionalFormatting>
  <conditionalFormatting sqref="F82 F87 F94">
    <cfRule type="expression" dxfId="21" priority="22">
      <formula>$L82=1</formula>
    </cfRule>
  </conditionalFormatting>
  <conditionalFormatting sqref="F16">
    <cfRule type="expression" dxfId="18" priority="19">
      <formula>$L16=1</formula>
    </cfRule>
  </conditionalFormatting>
  <conditionalFormatting sqref="F17">
    <cfRule type="expression" dxfId="17" priority="18">
      <formula>$L17=1</formula>
    </cfRule>
  </conditionalFormatting>
  <conditionalFormatting sqref="F72:F74">
    <cfRule type="expression" dxfId="16" priority="17">
      <formula>$L72=1</formula>
    </cfRule>
  </conditionalFormatting>
  <conditionalFormatting sqref="F75:F78">
    <cfRule type="expression" dxfId="15" priority="16">
      <formula>$L75=1</formula>
    </cfRule>
  </conditionalFormatting>
  <conditionalFormatting sqref="F83">
    <cfRule type="expression" dxfId="14" priority="15">
      <formula>$L83=1</formula>
    </cfRule>
  </conditionalFormatting>
  <conditionalFormatting sqref="F84">
    <cfRule type="expression" dxfId="13" priority="14">
      <formula>$L84=1</formula>
    </cfRule>
  </conditionalFormatting>
  <conditionalFormatting sqref="F85">
    <cfRule type="expression" dxfId="12" priority="13">
      <formula>$L85=1</formula>
    </cfRule>
  </conditionalFormatting>
  <conditionalFormatting sqref="F86">
    <cfRule type="expression" dxfId="11" priority="12">
      <formula>$L86=1</formula>
    </cfRule>
  </conditionalFormatting>
  <conditionalFormatting sqref="F22:F32">
    <cfRule type="expression" dxfId="9" priority="10">
      <formula>$L22=1</formula>
    </cfRule>
  </conditionalFormatting>
  <conditionalFormatting sqref="F39:F43">
    <cfRule type="expression" dxfId="8" priority="9">
      <formula>$L39=1</formula>
    </cfRule>
  </conditionalFormatting>
  <conditionalFormatting sqref="F47:F51">
    <cfRule type="expression" dxfId="7" priority="8">
      <formula>$L47=1</formula>
    </cfRule>
  </conditionalFormatting>
  <conditionalFormatting sqref="F57:F63">
    <cfRule type="expression" dxfId="6" priority="7">
      <formula>$L57=1</formula>
    </cfRule>
  </conditionalFormatting>
  <conditionalFormatting sqref="F67:F70">
    <cfRule type="expression" dxfId="5" priority="6">
      <formula>$L67=1</formula>
    </cfRule>
  </conditionalFormatting>
  <conditionalFormatting sqref="F88:F93">
    <cfRule type="expression" dxfId="4" priority="5">
      <formula>$L88=1</formula>
    </cfRule>
  </conditionalFormatting>
  <conditionalFormatting sqref="F95:F98">
    <cfRule type="expression" dxfId="3" priority="4">
      <formula>$L95=1</formula>
    </cfRule>
  </conditionalFormatting>
  <conditionalFormatting sqref="F102:F109">
    <cfRule type="expression" dxfId="2" priority="3">
      <formula>$L102=1</formula>
    </cfRule>
  </conditionalFormatting>
  <conditionalFormatting sqref="F113:F120">
    <cfRule type="expression" dxfId="1" priority="2">
      <formula>$L113=1</formula>
    </cfRule>
  </conditionalFormatting>
  <conditionalFormatting sqref="F8:F12">
    <cfRule type="expression" dxfId="0" priority="1">
      <formula>$L8=1</formula>
    </cfRule>
  </conditionalFormatting>
  <dataValidations count="14">
    <dataValidation type="list" allowBlank="1" sqref="D34:E34">
      <formula1>$A$16:$A$17</formula1>
    </dataValidation>
    <dataValidation type="list" allowBlank="1" sqref="D44:E44">
      <formula1>$A$16:$A$17</formula1>
    </dataValidation>
    <dataValidation type="list" allowBlank="1" sqref="D54:E54">
      <formula1>$A$16:$A$17</formula1>
    </dataValidation>
    <dataValidation type="list" allowBlank="1" sqref="D64:E64">
      <formula1>$A$16:$A$17</formula1>
    </dataValidation>
    <dataValidation type="list" allowBlank="1" sqref="D79:E79">
      <formula1>$A$16:$A$17</formula1>
    </dataValidation>
    <dataValidation type="list" allowBlank="1" sqref="D99:E99">
      <formula1>$A$16:$A$17</formula1>
    </dataValidation>
    <dataValidation type="list" allowBlank="1" sqref="D110:E110">
      <formula1>$A$16:$A$17</formula1>
    </dataValidation>
    <dataValidation type="list" allowBlank="1" sqref="F34">
      <formula1>$B$16:$B$18</formula1>
    </dataValidation>
    <dataValidation type="list" allowBlank="1" sqref="F44">
      <formula1>$B$16:$B$18</formula1>
    </dataValidation>
    <dataValidation type="list" allowBlank="1" sqref="F54">
      <formula1>$B$16:$B$18</formula1>
    </dataValidation>
    <dataValidation type="list" allowBlank="1" sqref="F64">
      <formula1>$B$16:$B$18</formula1>
    </dataValidation>
    <dataValidation type="list" allowBlank="1" sqref="F79">
      <formula1>$B$16:$B$18</formula1>
    </dataValidation>
    <dataValidation type="list" allowBlank="1" sqref="F99">
      <formula1>$B$16:$B$18</formula1>
    </dataValidation>
    <dataValidation type="list" allowBlank="1" sqref="F110">
      <formula1>$B$16:$B$18</formula1>
    </dataValidation>
  </dataValidations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6</xdr:col>
                    <xdr:colOff>488950</xdr:colOff>
                    <xdr:row>127</xdr:row>
                    <xdr:rowOff>184150</xdr:rowOff>
                  </from>
                  <to>
                    <xdr:col>6</xdr:col>
                    <xdr:colOff>857250</xdr:colOff>
                    <xdr:row>127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6</xdr:col>
                    <xdr:colOff>488950</xdr:colOff>
                    <xdr:row>128</xdr:row>
                    <xdr:rowOff>152400</xdr:rowOff>
                  </from>
                  <to>
                    <xdr:col>6</xdr:col>
                    <xdr:colOff>857250</xdr:colOff>
                    <xdr:row>128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6</xdr:col>
                    <xdr:colOff>488950</xdr:colOff>
                    <xdr:row>129</xdr:row>
                    <xdr:rowOff>57150</xdr:rowOff>
                  </from>
                  <to>
                    <xdr:col>6</xdr:col>
                    <xdr:colOff>857250</xdr:colOff>
                    <xdr:row>129</xdr:row>
                    <xdr:rowOff>476250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Datos!$A$16:$A$17</xm:f>
          </x14:formula1>
          <xm:sqref>D102:E109 D8:E19 D22:E33 D37:E43 D47:E53 D67:E78 D57:E63 D82:E98 D113:E120</xm:sqref>
        </x14:dataValidation>
        <x14:dataValidation type="list" allowBlank="1">
          <x14:formula1>
            <xm:f>Datos!$B$16:$B$18</xm:f>
          </x14:formula1>
          <xm:sqref>F102:F109 F8:F19 F22:F33 F37:F43 F47:F53 F67:F78 F57:F63 F82:F98 F113:F120</xm:sqref>
        </x14:dataValidation>
        <x14:dataValidation type="list" allowBlank="1" showInputMessage="1" showErrorMessage="1">
          <x14:formula1>
            <xm:f>Datos!$B$3:$B$12</xm:f>
          </x14:formula1>
          <xm:sqref>G1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E130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E128:E129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workbookViewId="0">
      <selection activeCell="D30" sqref="D30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92" t="s">
        <v>22</v>
      </c>
      <c r="B1" s="93"/>
      <c r="C1" s="93"/>
    </row>
    <row r="2" spans="1:4" x14ac:dyDescent="0.35">
      <c r="A2" s="3" t="s">
        <v>0</v>
      </c>
      <c r="B2" s="1" t="s">
        <v>14</v>
      </c>
      <c r="C2" s="1" t="s">
        <v>49</v>
      </c>
      <c r="D2" s="1" t="s">
        <v>12</v>
      </c>
    </row>
    <row r="3" spans="1:4" x14ac:dyDescent="0.35">
      <c r="A3" s="4">
        <v>1</v>
      </c>
      <c r="B3" s="2" t="s">
        <v>19</v>
      </c>
      <c r="C3" s="2" t="s">
        <v>30</v>
      </c>
      <c r="D3" s="5" t="s">
        <v>13</v>
      </c>
    </row>
    <row r="4" spans="1:4" x14ac:dyDescent="0.35">
      <c r="A4" s="4">
        <v>2</v>
      </c>
      <c r="B4" s="2" t="s">
        <v>20</v>
      </c>
      <c r="C4" s="2" t="s">
        <v>31</v>
      </c>
      <c r="D4" s="5" t="s">
        <v>13</v>
      </c>
    </row>
    <row r="5" spans="1:4" x14ac:dyDescent="0.35">
      <c r="A5" s="4">
        <v>3</v>
      </c>
      <c r="B5" s="2" t="s">
        <v>21</v>
      </c>
      <c r="C5" s="2" t="s">
        <v>32</v>
      </c>
      <c r="D5" s="5" t="s">
        <v>13</v>
      </c>
    </row>
    <row r="6" spans="1:4" x14ac:dyDescent="0.35">
      <c r="A6" s="4">
        <v>4</v>
      </c>
      <c r="B6" s="2" t="s">
        <v>16</v>
      </c>
      <c r="C6" s="2" t="s">
        <v>33</v>
      </c>
      <c r="D6" s="5" t="s">
        <v>39</v>
      </c>
    </row>
    <row r="7" spans="1:4" x14ac:dyDescent="0.35">
      <c r="A7" s="4">
        <v>5</v>
      </c>
      <c r="B7" s="2" t="s">
        <v>17</v>
      </c>
      <c r="C7" s="2" t="s">
        <v>34</v>
      </c>
      <c r="D7" s="5" t="s">
        <v>40</v>
      </c>
    </row>
    <row r="8" spans="1:4" x14ac:dyDescent="0.35">
      <c r="A8" s="4">
        <v>6</v>
      </c>
      <c r="B8" s="2" t="s">
        <v>18</v>
      </c>
      <c r="C8" s="2" t="s">
        <v>35</v>
      </c>
      <c r="D8" s="5" t="s">
        <v>41</v>
      </c>
    </row>
    <row r="9" spans="1:4" x14ac:dyDescent="0.35">
      <c r="A9" s="4">
        <v>7</v>
      </c>
      <c r="B9" s="2" t="s">
        <v>15</v>
      </c>
      <c r="C9" s="2" t="s">
        <v>36</v>
      </c>
      <c r="D9" s="5" t="s">
        <v>42</v>
      </c>
    </row>
    <row r="10" spans="1:4" x14ac:dyDescent="0.35">
      <c r="A10" s="4">
        <v>8</v>
      </c>
      <c r="B10" s="2" t="s">
        <v>250</v>
      </c>
      <c r="C10" s="2" t="s">
        <v>249</v>
      </c>
      <c r="D10" s="5" t="s">
        <v>251</v>
      </c>
    </row>
    <row r="11" spans="1:4" x14ac:dyDescent="0.35">
      <c r="A11" s="4">
        <v>9</v>
      </c>
      <c r="B11" s="2" t="s">
        <v>43</v>
      </c>
      <c r="C11" s="2" t="s">
        <v>43</v>
      </c>
      <c r="D11" s="5" t="s">
        <v>29</v>
      </c>
    </row>
    <row r="12" spans="1:4" x14ac:dyDescent="0.35">
      <c r="A12" s="4">
        <v>10</v>
      </c>
      <c r="B12" s="2" t="s">
        <v>37</v>
      </c>
      <c r="C12" s="2" t="s">
        <v>37</v>
      </c>
      <c r="D12" s="5" t="s">
        <v>38</v>
      </c>
    </row>
    <row r="15" spans="1:4" x14ac:dyDescent="0.35">
      <c r="A15" s="3" t="s">
        <v>24</v>
      </c>
      <c r="B15" s="1" t="s">
        <v>44</v>
      </c>
    </row>
    <row r="16" spans="1:4" x14ac:dyDescent="0.35">
      <c r="A16" s="4" t="s">
        <v>25</v>
      </c>
      <c r="B16" s="2" t="s">
        <v>26</v>
      </c>
    </row>
    <row r="17" spans="1:4" x14ac:dyDescent="0.35">
      <c r="A17" s="4" t="s">
        <v>9</v>
      </c>
      <c r="B17" s="2" t="s">
        <v>27</v>
      </c>
    </row>
    <row r="18" spans="1:4" x14ac:dyDescent="0.35">
      <c r="A18" s="4"/>
      <c r="B18" s="2" t="s">
        <v>28</v>
      </c>
    </row>
    <row r="23" spans="1:4" x14ac:dyDescent="0.35">
      <c r="C23" s="2" t="s">
        <v>57</v>
      </c>
      <c r="D23" s="5" t="s">
        <v>58</v>
      </c>
    </row>
    <row r="24" spans="1:4" x14ac:dyDescent="0.35">
      <c r="C24" s="2" t="s">
        <v>59</v>
      </c>
      <c r="D24" s="5" t="s">
        <v>60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2026-10-01T13:09:56Z</dcterms:modified>
</cp:coreProperties>
</file>